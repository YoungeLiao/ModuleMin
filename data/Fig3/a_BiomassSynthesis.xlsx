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3/"/>
    </mc:Choice>
  </mc:AlternateContent>
  <xr:revisionPtr revIDLastSave="0" documentId="13_ncr:1_{6C917FD6-8580-6347-9886-2A920EEB6697}" xr6:coauthVersionLast="47" xr6:coauthVersionMax="47" xr10:uidLastSave="{00000000-0000-0000-0000-000000000000}"/>
  <bookViews>
    <workbookView xWindow="10020" yWindow="660" windowWidth="18500" windowHeight="15300" xr2:uid="{EBE0BDB8-7839-3A4A-936F-86A49299B147}"/>
  </bookViews>
  <sheets>
    <sheet name="BS" sheetId="9" r:id="rId1"/>
    <sheet name="Sheet1" sheetId="11" r:id="rId2"/>
  </sheets>
  <definedNames>
    <definedName name="_xlnm._FilterDatabase" localSheetId="0" hidden="1">BS!$A$1:$H$49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1" l="1"/>
  <c r="C3" i="11"/>
  <c r="B3" i="11"/>
  <c r="B2" i="11"/>
  <c r="G8" i="9"/>
  <c r="G9" i="9"/>
  <c r="G10" i="9"/>
  <c r="G11" i="9"/>
  <c r="G12" i="9"/>
  <c r="G13" i="9"/>
  <c r="G14" i="9"/>
  <c r="G15" i="9"/>
  <c r="G16" i="9"/>
  <c r="G17" i="9"/>
  <c r="G18" i="9"/>
  <c r="G19" i="9"/>
  <c r="G2" i="9"/>
  <c r="G3" i="9"/>
  <c r="G4" i="9"/>
  <c r="G5" i="9"/>
  <c r="G6" i="9"/>
  <c r="G7" i="9"/>
  <c r="G49" i="9" l="1"/>
  <c r="G50" i="9"/>
  <c r="G51" i="9"/>
  <c r="G52" i="9"/>
  <c r="G53" i="9"/>
  <c r="G54" i="9"/>
  <c r="G55" i="9"/>
  <c r="G21" i="9"/>
  <c r="F21" i="9" s="1"/>
  <c r="E21" i="9" s="1"/>
  <c r="G22" i="9"/>
  <c r="F22" i="9" s="1"/>
  <c r="E22" i="9" s="1"/>
  <c r="G23" i="9"/>
  <c r="F23" i="9" s="1"/>
  <c r="E23" i="9" s="1"/>
  <c r="G24" i="9"/>
  <c r="F24" i="9" s="1"/>
  <c r="E24" i="9" s="1"/>
  <c r="G25" i="9"/>
  <c r="F25" i="9" s="1"/>
  <c r="E25" i="9" s="1"/>
  <c r="G26" i="9"/>
  <c r="F26" i="9" s="1"/>
  <c r="E26" i="9" s="1"/>
  <c r="G27" i="9"/>
  <c r="F27" i="9" s="1"/>
  <c r="E27" i="9" s="1"/>
  <c r="G28" i="9"/>
  <c r="F28" i="9" s="1"/>
  <c r="E28" i="9" s="1"/>
  <c r="G29" i="9"/>
  <c r="F29" i="9" s="1"/>
  <c r="E29" i="9" s="1"/>
  <c r="G30" i="9"/>
  <c r="F30" i="9" s="1"/>
  <c r="E30" i="9" s="1"/>
  <c r="G31" i="9"/>
  <c r="F31" i="9" s="1"/>
  <c r="E31" i="9" s="1"/>
  <c r="G32" i="9"/>
  <c r="F32" i="9" s="1"/>
  <c r="E32" i="9" s="1"/>
  <c r="G33" i="9"/>
  <c r="F33" i="9" s="1"/>
  <c r="E33" i="9" s="1"/>
  <c r="G34" i="9"/>
  <c r="F34" i="9" s="1"/>
  <c r="E34" i="9" s="1"/>
  <c r="G35" i="9"/>
  <c r="F35" i="9" s="1"/>
  <c r="E35" i="9" s="1"/>
  <c r="G36" i="9"/>
  <c r="F36" i="9" s="1"/>
  <c r="E36" i="9" s="1"/>
  <c r="G37" i="9"/>
  <c r="F37" i="9" s="1"/>
  <c r="E37" i="9" s="1"/>
  <c r="G38" i="9"/>
  <c r="G39" i="9"/>
  <c r="F39" i="9" s="1"/>
  <c r="E39" i="9" s="1"/>
  <c r="G40" i="9"/>
  <c r="F40" i="9" s="1"/>
  <c r="E40" i="9" s="1"/>
  <c r="G41" i="9"/>
  <c r="G42" i="9"/>
  <c r="G43" i="9"/>
  <c r="G44" i="9"/>
  <c r="F44" i="9" s="1"/>
  <c r="E44" i="9" s="1"/>
  <c r="G45" i="9"/>
  <c r="F45" i="9" s="1"/>
  <c r="E45" i="9" s="1"/>
  <c r="G46" i="9"/>
  <c r="F46" i="9" s="1"/>
  <c r="E46" i="9" s="1"/>
  <c r="G47" i="9"/>
  <c r="F47" i="9" s="1"/>
  <c r="E47" i="9" s="1"/>
  <c r="G48" i="9"/>
  <c r="F48" i="9" s="1"/>
  <c r="E48" i="9" s="1"/>
  <c r="G20" i="9"/>
  <c r="F20" i="9" s="1"/>
  <c r="E20" i="9" s="1"/>
  <c r="F51" i="9" l="1"/>
  <c r="E51" i="9" s="1"/>
  <c r="F38" i="9"/>
  <c r="E38" i="9" s="1"/>
  <c r="F43" i="9"/>
  <c r="E43" i="9" s="1"/>
  <c r="F50" i="9"/>
  <c r="E50" i="9" s="1"/>
  <c r="F49" i="9"/>
  <c r="E49" i="9" s="1"/>
  <c r="F55" i="9"/>
  <c r="E55" i="9" s="1"/>
  <c r="F54" i="9"/>
  <c r="E54" i="9" s="1"/>
  <c r="F42" i="9"/>
  <c r="E42" i="9" s="1"/>
  <c r="F53" i="9"/>
  <c r="E53" i="9" s="1"/>
  <c r="F41" i="9"/>
  <c r="E41" i="9" s="1"/>
  <c r="F52" i="9"/>
  <c r="E52" i="9" s="1"/>
</calcChain>
</file>

<file path=xl/sharedStrings.xml><?xml version="1.0" encoding="utf-8"?>
<sst xmlns="http://schemas.openxmlformats.org/spreadsheetml/2006/main" count="175" uniqueCount="21">
  <si>
    <t>Samples</t>
  </si>
  <si>
    <t>Group</t>
  </si>
  <si>
    <t>Time</t>
  </si>
  <si>
    <t>Batch</t>
  </si>
  <si>
    <t>Dark</t>
  </si>
  <si>
    <t>IR</t>
  </si>
  <si>
    <t>Opto4</t>
  </si>
  <si>
    <t>D2</t>
  </si>
  <si>
    <t>D3</t>
  </si>
  <si>
    <t>I1</t>
  </si>
  <si>
    <t>I2</t>
  </si>
  <si>
    <t>I3</t>
  </si>
  <si>
    <t>BiomassSynthesis</t>
  </si>
  <si>
    <t>DCW (mg/l)</t>
  </si>
  <si>
    <t>OD600</t>
  </si>
  <si>
    <t>D1_0108</t>
  </si>
  <si>
    <t>D1</t>
  </si>
  <si>
    <t>D1_0117</t>
  </si>
  <si>
    <t>D1_0105</t>
  </si>
  <si>
    <t>BiomassSynthesisRate</t>
  </si>
  <si>
    <t>DCW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</si>
</sst>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06B3-0124-0A40-8422-9AFE093E6792}">
  <dimension ref="A1:H55"/>
  <sheetViews>
    <sheetView tabSelected="1" topLeftCell="A37" zoomScale="113" workbookViewId="0">
      <selection activeCell="E42" sqref="E42"/>
    </sheetView>
  </sheetViews>
  <sheetFormatPr baseColWidth="10" defaultRowHeight="16" x14ac:dyDescent="0.2"/>
  <sheetData>
    <row r="1" spans="1:8" ht="33" thickBot="1" x14ac:dyDescent="0.25">
      <c r="A1" s="3" t="s">
        <v>0</v>
      </c>
      <c r="B1" s="7" t="s">
        <v>2</v>
      </c>
      <c r="C1" s="4" t="s">
        <v>3</v>
      </c>
      <c r="D1" s="5" t="s">
        <v>1</v>
      </c>
      <c r="E1" s="5" t="s">
        <v>19</v>
      </c>
      <c r="F1" s="5" t="s">
        <v>12</v>
      </c>
      <c r="G1" s="5" t="s">
        <v>13</v>
      </c>
      <c r="H1" s="5" t="s">
        <v>14</v>
      </c>
    </row>
    <row r="2" spans="1:8" x14ac:dyDescent="0.2">
      <c r="A2" t="s">
        <v>18</v>
      </c>
      <c r="B2" s="8">
        <v>2</v>
      </c>
      <c r="C2" t="s">
        <v>6</v>
      </c>
      <c r="D2" t="s">
        <v>4</v>
      </c>
      <c r="E2" s="5"/>
      <c r="F2" s="5"/>
      <c r="G2" s="2">
        <f t="shared" ref="G2:G19" si="0">(H2*4.1306-1.0384)*1000</f>
        <v>862.08906000000013</v>
      </c>
      <c r="H2">
        <v>0.46010000000000001</v>
      </c>
    </row>
    <row r="3" spans="1:8" x14ac:dyDescent="0.2">
      <c r="A3" t="s">
        <v>7</v>
      </c>
      <c r="B3" s="8">
        <v>2</v>
      </c>
      <c r="C3" t="s">
        <v>6</v>
      </c>
      <c r="D3" t="s">
        <v>4</v>
      </c>
      <c r="E3" s="5"/>
      <c r="F3" s="5"/>
      <c r="G3" s="2">
        <f t="shared" si="0"/>
        <v>860.43682000000013</v>
      </c>
      <c r="H3">
        <v>0.4597</v>
      </c>
    </row>
    <row r="4" spans="1:8" x14ac:dyDescent="0.2">
      <c r="A4" t="s">
        <v>8</v>
      </c>
      <c r="B4" s="8">
        <v>2</v>
      </c>
      <c r="C4" t="s">
        <v>6</v>
      </c>
      <c r="D4" t="s">
        <v>4</v>
      </c>
      <c r="E4" s="5"/>
      <c r="F4" s="5"/>
      <c r="G4" s="2">
        <f t="shared" si="0"/>
        <v>993.02908000000014</v>
      </c>
      <c r="H4">
        <v>0.49180000000000001</v>
      </c>
    </row>
    <row r="5" spans="1:8" x14ac:dyDescent="0.2">
      <c r="A5" t="s">
        <v>9</v>
      </c>
      <c r="B5" s="8">
        <v>2</v>
      </c>
      <c r="C5" t="s">
        <v>6</v>
      </c>
      <c r="D5" t="s">
        <v>5</v>
      </c>
      <c r="E5" s="5"/>
      <c r="F5" s="5"/>
      <c r="G5" s="2">
        <f t="shared" si="0"/>
        <v>1359.4133000000002</v>
      </c>
      <c r="H5">
        <v>0.58050000000000002</v>
      </c>
    </row>
    <row r="6" spans="1:8" x14ac:dyDescent="0.2">
      <c r="A6" t="s">
        <v>10</v>
      </c>
      <c r="B6" s="8">
        <v>2</v>
      </c>
      <c r="C6" t="s">
        <v>6</v>
      </c>
      <c r="D6" t="s">
        <v>5</v>
      </c>
      <c r="E6" s="5"/>
      <c r="F6" s="5"/>
      <c r="G6" s="2">
        <f t="shared" si="0"/>
        <v>684.88632000000018</v>
      </c>
      <c r="H6">
        <v>0.41720000000000002</v>
      </c>
    </row>
    <row r="7" spans="1:8" x14ac:dyDescent="0.2">
      <c r="A7" t="s">
        <v>11</v>
      </c>
      <c r="B7" s="8">
        <v>2</v>
      </c>
      <c r="C7" t="s">
        <v>6</v>
      </c>
      <c r="D7" t="s">
        <v>5</v>
      </c>
      <c r="E7" s="5"/>
      <c r="F7" s="5"/>
      <c r="G7" s="2">
        <f t="shared" si="0"/>
        <v>866.63272000000018</v>
      </c>
      <c r="H7">
        <v>0.4612</v>
      </c>
    </row>
    <row r="8" spans="1:8" x14ac:dyDescent="0.2">
      <c r="A8" t="s">
        <v>16</v>
      </c>
      <c r="B8" s="8">
        <v>2</v>
      </c>
      <c r="C8" t="s">
        <v>6</v>
      </c>
      <c r="D8" t="s">
        <v>4</v>
      </c>
      <c r="E8" s="5"/>
      <c r="F8" s="5"/>
      <c r="G8" s="2">
        <f t="shared" si="0"/>
        <v>706.36544000000015</v>
      </c>
      <c r="H8">
        <v>0.4224</v>
      </c>
    </row>
    <row r="9" spans="1:8" x14ac:dyDescent="0.2">
      <c r="A9" t="s">
        <v>7</v>
      </c>
      <c r="B9" s="8">
        <v>2</v>
      </c>
      <c r="C9" t="s">
        <v>6</v>
      </c>
      <c r="D9" t="s">
        <v>4</v>
      </c>
      <c r="E9" s="5"/>
      <c r="F9" s="5"/>
      <c r="G9" s="2">
        <f t="shared" si="0"/>
        <v>847.21890000000008</v>
      </c>
      <c r="H9">
        <v>0.45650000000000002</v>
      </c>
    </row>
    <row r="10" spans="1:8" x14ac:dyDescent="0.2">
      <c r="A10" t="s">
        <v>8</v>
      </c>
      <c r="B10" s="8">
        <v>2</v>
      </c>
      <c r="C10" t="s">
        <v>6</v>
      </c>
      <c r="D10" t="s">
        <v>4</v>
      </c>
      <c r="E10" s="5"/>
      <c r="F10" s="5"/>
      <c r="G10" s="2">
        <f t="shared" si="0"/>
        <v>922.39582000000019</v>
      </c>
      <c r="H10">
        <v>0.47470000000000001</v>
      </c>
    </row>
    <row r="11" spans="1:8" x14ac:dyDescent="0.2">
      <c r="A11" t="s">
        <v>9</v>
      </c>
      <c r="B11" s="8">
        <v>2</v>
      </c>
      <c r="C11" t="s">
        <v>6</v>
      </c>
      <c r="D11" t="s">
        <v>5</v>
      </c>
      <c r="E11" s="5"/>
      <c r="F11" s="5"/>
      <c r="G11" s="2">
        <f t="shared" si="0"/>
        <v>1437.4816400000004</v>
      </c>
      <c r="H11">
        <v>0.59940000000000004</v>
      </c>
    </row>
    <row r="12" spans="1:8" x14ac:dyDescent="0.2">
      <c r="A12" t="s">
        <v>10</v>
      </c>
      <c r="B12" s="8">
        <v>2</v>
      </c>
      <c r="C12" t="s">
        <v>6</v>
      </c>
      <c r="D12" t="s">
        <v>5</v>
      </c>
      <c r="E12" s="5"/>
      <c r="F12" s="5"/>
      <c r="G12" s="2">
        <f t="shared" si="0"/>
        <v>575.83848</v>
      </c>
      <c r="H12">
        <v>0.39079999999999998</v>
      </c>
    </row>
    <row r="13" spans="1:8" x14ac:dyDescent="0.2">
      <c r="A13" t="s">
        <v>11</v>
      </c>
      <c r="B13" s="8">
        <v>2</v>
      </c>
      <c r="C13" t="s">
        <v>6</v>
      </c>
      <c r="D13" t="s">
        <v>5</v>
      </c>
      <c r="E13" s="5"/>
      <c r="F13" s="5"/>
      <c r="G13" s="2">
        <f t="shared" si="0"/>
        <v>911.6562600000002</v>
      </c>
      <c r="H13">
        <v>0.47210000000000002</v>
      </c>
    </row>
    <row r="14" spans="1:8" x14ac:dyDescent="0.2">
      <c r="A14" t="s">
        <v>16</v>
      </c>
      <c r="B14" s="8">
        <v>2</v>
      </c>
      <c r="C14" t="s">
        <v>6</v>
      </c>
      <c r="D14" t="s">
        <v>4</v>
      </c>
      <c r="E14" s="5"/>
      <c r="F14" s="5"/>
      <c r="G14" s="2">
        <f t="shared" si="0"/>
        <v>746.43225999999993</v>
      </c>
      <c r="H14">
        <v>0.43209999999999998</v>
      </c>
    </row>
    <row r="15" spans="1:8" x14ac:dyDescent="0.2">
      <c r="A15" t="s">
        <v>7</v>
      </c>
      <c r="B15" s="8">
        <v>2</v>
      </c>
      <c r="C15" t="s">
        <v>6</v>
      </c>
      <c r="D15" t="s">
        <v>4</v>
      </c>
      <c r="E15" s="5"/>
      <c r="F15" s="5"/>
      <c r="G15" s="2">
        <f t="shared" si="0"/>
        <v>767.49832000000004</v>
      </c>
      <c r="H15">
        <v>0.43719999999999998</v>
      </c>
    </row>
    <row r="16" spans="1:8" x14ac:dyDescent="0.2">
      <c r="A16" t="s">
        <v>8</v>
      </c>
      <c r="B16" s="8">
        <v>2</v>
      </c>
      <c r="C16" t="s">
        <v>6</v>
      </c>
      <c r="D16" t="s">
        <v>4</v>
      </c>
      <c r="E16" s="5"/>
      <c r="F16" s="5"/>
      <c r="G16" s="2">
        <f t="shared" si="0"/>
        <v>862.91518000000008</v>
      </c>
      <c r="H16">
        <v>0.46029999999999999</v>
      </c>
    </row>
    <row r="17" spans="1:8" x14ac:dyDescent="0.2">
      <c r="A17" t="s">
        <v>9</v>
      </c>
      <c r="B17" s="8">
        <v>2</v>
      </c>
      <c r="C17" t="s">
        <v>6</v>
      </c>
      <c r="D17" t="s">
        <v>5</v>
      </c>
      <c r="E17" s="5"/>
      <c r="F17" s="5"/>
      <c r="G17" s="2">
        <f t="shared" si="0"/>
        <v>1422.6114800000003</v>
      </c>
      <c r="H17">
        <v>0.5958</v>
      </c>
    </row>
    <row r="18" spans="1:8" x14ac:dyDescent="0.2">
      <c r="A18" t="s">
        <v>10</v>
      </c>
      <c r="B18" s="8">
        <v>2</v>
      </c>
      <c r="C18" t="s">
        <v>6</v>
      </c>
      <c r="D18" t="s">
        <v>5</v>
      </c>
      <c r="E18" s="5"/>
      <c r="F18" s="5"/>
      <c r="G18" s="2">
        <f t="shared" si="0"/>
        <v>612.60082000000011</v>
      </c>
      <c r="H18">
        <v>0.3997</v>
      </c>
    </row>
    <row r="19" spans="1:8" x14ac:dyDescent="0.2">
      <c r="A19" t="s">
        <v>11</v>
      </c>
      <c r="B19" s="8">
        <v>2</v>
      </c>
      <c r="C19" t="s">
        <v>6</v>
      </c>
      <c r="D19" t="s">
        <v>5</v>
      </c>
      <c r="E19" s="5"/>
      <c r="F19" s="5"/>
      <c r="G19" s="2">
        <f t="shared" si="0"/>
        <v>911.6562600000002</v>
      </c>
      <c r="H19">
        <v>0.47210000000000002</v>
      </c>
    </row>
    <row r="20" spans="1:8" x14ac:dyDescent="0.2">
      <c r="A20" t="s">
        <v>15</v>
      </c>
      <c r="B20" s="1">
        <v>5</v>
      </c>
      <c r="C20" t="s">
        <v>6</v>
      </c>
      <c r="D20" t="s">
        <v>4</v>
      </c>
      <c r="E20">
        <f>F20/(B20-B2)</f>
        <v>-65.814226666666627</v>
      </c>
      <c r="F20">
        <f>G20-G2</f>
        <v>-197.44267999999988</v>
      </c>
      <c r="G20" s="2">
        <f t="shared" ref="G20:G55" si="1">(H20*4.1306-1.0384)*1000</f>
        <v>664.64638000000025</v>
      </c>
      <c r="H20" s="1">
        <v>0.4123</v>
      </c>
    </row>
    <row r="21" spans="1:8" x14ac:dyDescent="0.2">
      <c r="A21" t="s">
        <v>7</v>
      </c>
      <c r="B21" s="1">
        <v>5</v>
      </c>
      <c r="C21" t="s">
        <v>6</v>
      </c>
      <c r="D21" t="s">
        <v>4</v>
      </c>
      <c r="E21">
        <f>F21/(B21-B3)</f>
        <v>-1.4457099999999627</v>
      </c>
      <c r="F21">
        <f t="shared" ref="F21:F55" si="2">G21-G3</f>
        <v>-4.3371299999998882</v>
      </c>
      <c r="G21" s="2">
        <f t="shared" si="1"/>
        <v>856.09969000000024</v>
      </c>
      <c r="H21" s="1">
        <v>0.45865</v>
      </c>
    </row>
    <row r="22" spans="1:8" x14ac:dyDescent="0.2">
      <c r="A22" t="s">
        <v>8</v>
      </c>
      <c r="B22" s="1">
        <v>5</v>
      </c>
      <c r="C22" t="s">
        <v>6</v>
      </c>
      <c r="D22" t="s">
        <v>4</v>
      </c>
      <c r="E22">
        <f>F22/(B22-B4)</f>
        <v>113.17844000000009</v>
      </c>
      <c r="F22">
        <f t="shared" si="2"/>
        <v>339.5353200000003</v>
      </c>
      <c r="G22" s="2">
        <f t="shared" si="1"/>
        <v>1332.5644000000004</v>
      </c>
      <c r="H22" s="1">
        <v>0.57400000000000007</v>
      </c>
    </row>
    <row r="23" spans="1:8" x14ac:dyDescent="0.2">
      <c r="A23" t="s">
        <v>9</v>
      </c>
      <c r="B23" s="1">
        <v>5</v>
      </c>
      <c r="C23" t="s">
        <v>6</v>
      </c>
      <c r="D23" t="s">
        <v>5</v>
      </c>
      <c r="E23">
        <f>F23/(B23-B5)</f>
        <v>142.50569999999993</v>
      </c>
      <c r="F23">
        <f t="shared" si="2"/>
        <v>427.5170999999998</v>
      </c>
      <c r="G23" s="2">
        <f t="shared" si="1"/>
        <v>1786.9304</v>
      </c>
      <c r="H23" s="1">
        <v>0.68399999999999994</v>
      </c>
    </row>
    <row r="24" spans="1:8" x14ac:dyDescent="0.2">
      <c r="A24" t="s">
        <v>10</v>
      </c>
      <c r="B24" s="1">
        <v>5</v>
      </c>
      <c r="C24" t="s">
        <v>6</v>
      </c>
      <c r="D24" t="s">
        <v>5</v>
      </c>
      <c r="E24">
        <f>F24/(B24-B6)</f>
        <v>111.73272999999995</v>
      </c>
      <c r="F24">
        <f t="shared" si="2"/>
        <v>335.19818999999984</v>
      </c>
      <c r="G24" s="2">
        <f t="shared" si="1"/>
        <v>1020.08451</v>
      </c>
      <c r="H24" s="1">
        <v>0.49834999999999996</v>
      </c>
    </row>
    <row r="25" spans="1:8" x14ac:dyDescent="0.2">
      <c r="A25" t="s">
        <v>11</v>
      </c>
      <c r="B25" s="1">
        <v>5</v>
      </c>
      <c r="C25" t="s">
        <v>6</v>
      </c>
      <c r="D25" t="s">
        <v>5</v>
      </c>
      <c r="E25">
        <f>F25/(B25-B7)</f>
        <v>181.05796666666663</v>
      </c>
      <c r="F25">
        <f t="shared" si="2"/>
        <v>543.17389999999989</v>
      </c>
      <c r="G25" s="2">
        <f t="shared" si="1"/>
        <v>1409.8066200000001</v>
      </c>
      <c r="H25" s="1">
        <v>0.5927</v>
      </c>
    </row>
    <row r="26" spans="1:8" x14ac:dyDescent="0.2">
      <c r="A26" t="s">
        <v>16</v>
      </c>
      <c r="B26" s="1">
        <v>5</v>
      </c>
      <c r="C26" t="s">
        <v>6</v>
      </c>
      <c r="D26" t="s">
        <v>4</v>
      </c>
      <c r="E26">
        <f>F26/(B26-B8)</f>
        <v>-113.72918666666669</v>
      </c>
      <c r="F26">
        <f t="shared" si="2"/>
        <v>-341.18756000000008</v>
      </c>
      <c r="G26" s="2">
        <f t="shared" si="1"/>
        <v>365.17788000000007</v>
      </c>
      <c r="H26" s="1">
        <v>0.33979999999999999</v>
      </c>
    </row>
    <row r="27" spans="1:8" x14ac:dyDescent="0.2">
      <c r="A27" t="s">
        <v>7</v>
      </c>
      <c r="B27" s="1">
        <v>5</v>
      </c>
      <c r="C27" t="s">
        <v>6</v>
      </c>
      <c r="D27" t="s">
        <v>4</v>
      </c>
      <c r="E27">
        <f>F27/(B27-B9)</f>
        <v>-16.797773333333378</v>
      </c>
      <c r="F27">
        <f t="shared" si="2"/>
        <v>-50.393320000000131</v>
      </c>
      <c r="G27" s="2">
        <f t="shared" si="1"/>
        <v>796.82557999999995</v>
      </c>
      <c r="H27" s="1">
        <v>0.44429999999999997</v>
      </c>
    </row>
    <row r="28" spans="1:8" x14ac:dyDescent="0.2">
      <c r="A28" t="s">
        <v>8</v>
      </c>
      <c r="B28" s="1">
        <v>5</v>
      </c>
      <c r="C28" t="s">
        <v>6</v>
      </c>
      <c r="D28" t="s">
        <v>4</v>
      </c>
      <c r="E28">
        <f>F28/(B28-B10)</f>
        <v>81.785880000000063</v>
      </c>
      <c r="F28">
        <f t="shared" si="2"/>
        <v>245.35764000000017</v>
      </c>
      <c r="G28" s="2">
        <f t="shared" si="1"/>
        <v>1167.7534600000004</v>
      </c>
      <c r="H28" s="1">
        <v>0.53410000000000002</v>
      </c>
    </row>
    <row r="29" spans="1:8" x14ac:dyDescent="0.2">
      <c r="A29" t="s">
        <v>9</v>
      </c>
      <c r="B29" s="1">
        <v>5</v>
      </c>
      <c r="C29" t="s">
        <v>6</v>
      </c>
      <c r="D29" t="s">
        <v>5</v>
      </c>
      <c r="E29">
        <f>F29/(B29-B11)</f>
        <v>-40.617566666666789</v>
      </c>
      <c r="F29">
        <f t="shared" si="2"/>
        <v>-121.85270000000037</v>
      </c>
      <c r="G29" s="2">
        <f t="shared" si="1"/>
        <v>1315.6289400000001</v>
      </c>
      <c r="H29" s="1">
        <v>0.56989999999999996</v>
      </c>
    </row>
    <row r="30" spans="1:8" x14ac:dyDescent="0.2">
      <c r="A30" t="s">
        <v>10</v>
      </c>
      <c r="B30" s="1">
        <v>5</v>
      </c>
      <c r="C30" t="s">
        <v>6</v>
      </c>
      <c r="D30" t="s">
        <v>5</v>
      </c>
      <c r="E30">
        <f>F30/(B30-B12)</f>
        <v>79.995953333333432</v>
      </c>
      <c r="F30">
        <f t="shared" si="2"/>
        <v>239.9878600000003</v>
      </c>
      <c r="G30" s="2">
        <f t="shared" si="1"/>
        <v>815.8263400000003</v>
      </c>
      <c r="H30" s="1">
        <v>0.44890000000000002</v>
      </c>
    </row>
    <row r="31" spans="1:8" x14ac:dyDescent="0.2">
      <c r="A31" t="s">
        <v>11</v>
      </c>
      <c r="B31" s="1">
        <v>5</v>
      </c>
      <c r="C31" t="s">
        <v>6</v>
      </c>
      <c r="D31" t="s">
        <v>5</v>
      </c>
      <c r="E31">
        <f>F31/(B31-B13)</f>
        <v>118.27284666666674</v>
      </c>
      <c r="F31">
        <f t="shared" si="2"/>
        <v>354.81854000000021</v>
      </c>
      <c r="G31" s="2">
        <f t="shared" si="1"/>
        <v>1266.4748000000004</v>
      </c>
      <c r="H31" s="1">
        <v>0.55800000000000005</v>
      </c>
    </row>
    <row r="32" spans="1:8" x14ac:dyDescent="0.2">
      <c r="A32" t="s">
        <v>16</v>
      </c>
      <c r="B32" s="1">
        <v>5</v>
      </c>
      <c r="C32" t="s">
        <v>6</v>
      </c>
      <c r="D32" t="s">
        <v>4</v>
      </c>
      <c r="E32">
        <f>F32/(B32-B14)</f>
        <v>-27.261959999999892</v>
      </c>
      <c r="F32">
        <f t="shared" si="2"/>
        <v>-81.785879999999679</v>
      </c>
      <c r="G32" s="2">
        <f t="shared" si="1"/>
        <v>664.64638000000025</v>
      </c>
      <c r="H32">
        <v>0.4123</v>
      </c>
    </row>
    <row r="33" spans="1:8" x14ac:dyDescent="0.2">
      <c r="A33" t="s">
        <v>7</v>
      </c>
      <c r="B33" s="1">
        <v>5</v>
      </c>
      <c r="C33" t="s">
        <v>6</v>
      </c>
      <c r="D33" t="s">
        <v>4</v>
      </c>
      <c r="E33">
        <f>F33/(B33-B15)</f>
        <v>29.533790000000067</v>
      </c>
      <c r="F33">
        <f t="shared" si="2"/>
        <v>88.601370000000202</v>
      </c>
      <c r="G33" s="2">
        <f t="shared" si="1"/>
        <v>856.09969000000024</v>
      </c>
      <c r="H33">
        <v>0.45865</v>
      </c>
    </row>
    <row r="34" spans="1:8" x14ac:dyDescent="0.2">
      <c r="A34" t="s">
        <v>8</v>
      </c>
      <c r="B34" s="1">
        <v>5</v>
      </c>
      <c r="C34" t="s">
        <v>6</v>
      </c>
      <c r="D34" t="s">
        <v>4</v>
      </c>
      <c r="E34">
        <f>F34/(B34-B16)</f>
        <v>156.54974000000013</v>
      </c>
      <c r="F34">
        <f t="shared" si="2"/>
        <v>469.64922000000035</v>
      </c>
      <c r="G34" s="2">
        <f t="shared" si="1"/>
        <v>1332.5644000000004</v>
      </c>
      <c r="H34">
        <v>0.57400000000000007</v>
      </c>
    </row>
    <row r="35" spans="1:8" x14ac:dyDescent="0.2">
      <c r="A35" t="s">
        <v>9</v>
      </c>
      <c r="B35" s="1">
        <v>5</v>
      </c>
      <c r="C35" t="s">
        <v>6</v>
      </c>
      <c r="D35" t="s">
        <v>5</v>
      </c>
      <c r="E35">
        <f>F35/(B35-B17)</f>
        <v>121.4396399999999</v>
      </c>
      <c r="F35">
        <f t="shared" si="2"/>
        <v>364.31891999999971</v>
      </c>
      <c r="G35" s="2">
        <f t="shared" si="1"/>
        <v>1786.9304</v>
      </c>
      <c r="H35">
        <v>0.68399999999999994</v>
      </c>
    </row>
    <row r="36" spans="1:8" x14ac:dyDescent="0.2">
      <c r="A36" t="s">
        <v>10</v>
      </c>
      <c r="B36" s="1">
        <v>5</v>
      </c>
      <c r="C36" t="s">
        <v>6</v>
      </c>
      <c r="D36" t="s">
        <v>5</v>
      </c>
      <c r="E36">
        <f>F36/(B36-B18)</f>
        <v>135.82789666666665</v>
      </c>
      <c r="F36">
        <f t="shared" si="2"/>
        <v>407.48368999999991</v>
      </c>
      <c r="G36" s="2">
        <f t="shared" si="1"/>
        <v>1020.08451</v>
      </c>
      <c r="H36">
        <v>0.49834999999999996</v>
      </c>
    </row>
    <row r="37" spans="1:8" x14ac:dyDescent="0.2">
      <c r="A37" t="s">
        <v>11</v>
      </c>
      <c r="B37" s="1">
        <v>5</v>
      </c>
      <c r="C37" t="s">
        <v>6</v>
      </c>
      <c r="D37" t="s">
        <v>5</v>
      </c>
      <c r="E37">
        <f>F37/(B37-B19)</f>
        <v>166.05011999999996</v>
      </c>
      <c r="F37">
        <f t="shared" si="2"/>
        <v>498.15035999999986</v>
      </c>
      <c r="G37" s="2">
        <f t="shared" si="1"/>
        <v>1409.8066200000001</v>
      </c>
      <c r="H37">
        <v>0.5927</v>
      </c>
    </row>
    <row r="38" spans="1:8" x14ac:dyDescent="0.2">
      <c r="A38" t="s">
        <v>17</v>
      </c>
      <c r="B38" s="1">
        <v>14</v>
      </c>
      <c r="C38" t="s">
        <v>6</v>
      </c>
      <c r="D38" t="s">
        <v>4</v>
      </c>
      <c r="E38">
        <f>F38/(B38-B20)</f>
        <v>1.8817177777777436</v>
      </c>
      <c r="F38">
        <f t="shared" si="2"/>
        <v>16.935459999999694</v>
      </c>
      <c r="G38" s="2">
        <f t="shared" si="1"/>
        <v>681.58183999999994</v>
      </c>
      <c r="H38" s="6">
        <v>0.41639999999999999</v>
      </c>
    </row>
    <row r="39" spans="1:8" x14ac:dyDescent="0.2">
      <c r="A39" t="s">
        <v>7</v>
      </c>
      <c r="B39" s="1">
        <v>14</v>
      </c>
      <c r="C39" t="s">
        <v>6</v>
      </c>
      <c r="D39" t="s">
        <v>4</v>
      </c>
      <c r="E39">
        <f>F39/(B39-B21)</f>
        <v>-4.3371300000000144</v>
      </c>
      <c r="F39">
        <f t="shared" si="2"/>
        <v>-39.034170000000131</v>
      </c>
      <c r="G39" s="2">
        <f t="shared" si="1"/>
        <v>817.06552000000011</v>
      </c>
      <c r="H39" s="6">
        <v>0.44919999999999999</v>
      </c>
    </row>
    <row r="40" spans="1:8" x14ac:dyDescent="0.2">
      <c r="A40" t="s">
        <v>8</v>
      </c>
      <c r="B40" s="1">
        <v>14</v>
      </c>
      <c r="C40" t="s">
        <v>6</v>
      </c>
      <c r="D40" t="s">
        <v>4</v>
      </c>
      <c r="E40">
        <f>F40/(B40-B22)</f>
        <v>-27.583228888888925</v>
      </c>
      <c r="F40">
        <f t="shared" si="2"/>
        <v>-248.24906000000033</v>
      </c>
      <c r="G40" s="2">
        <f t="shared" si="1"/>
        <v>1084.3153400000001</v>
      </c>
      <c r="H40" s="6">
        <v>0.51390000000000002</v>
      </c>
    </row>
    <row r="41" spans="1:8" x14ac:dyDescent="0.2">
      <c r="A41" t="s">
        <v>9</v>
      </c>
      <c r="B41" s="1">
        <v>14</v>
      </c>
      <c r="C41" t="s">
        <v>6</v>
      </c>
      <c r="D41" t="s">
        <v>5</v>
      </c>
      <c r="E41">
        <f>F41/(B41-B23)</f>
        <v>21.295537777777856</v>
      </c>
      <c r="F41">
        <f t="shared" si="2"/>
        <v>191.65984000000071</v>
      </c>
      <c r="G41" s="2">
        <f t="shared" si="1"/>
        <v>1978.5902400000007</v>
      </c>
      <c r="H41" s="6">
        <v>0.73040000000000005</v>
      </c>
    </row>
    <row r="42" spans="1:8" x14ac:dyDescent="0.2">
      <c r="A42" t="s">
        <v>10</v>
      </c>
      <c r="B42" s="1">
        <v>14</v>
      </c>
      <c r="C42" t="s">
        <v>6</v>
      </c>
      <c r="D42" t="s">
        <v>5</v>
      </c>
      <c r="E42">
        <f>F42/(B42-B24)</f>
        <v>27.376698888888932</v>
      </c>
      <c r="F42">
        <f t="shared" si="2"/>
        <v>246.39029000000039</v>
      </c>
      <c r="G42" s="2">
        <f t="shared" si="1"/>
        <v>1266.4748000000004</v>
      </c>
      <c r="H42" s="6">
        <v>0.55800000000000005</v>
      </c>
    </row>
    <row r="43" spans="1:8" x14ac:dyDescent="0.2">
      <c r="A43" t="s">
        <v>11</v>
      </c>
      <c r="B43" s="1">
        <v>14</v>
      </c>
      <c r="C43" t="s">
        <v>6</v>
      </c>
      <c r="D43" t="s">
        <v>5</v>
      </c>
      <c r="E43">
        <f>F43/(B43-B25)</f>
        <v>-34.972413333333357</v>
      </c>
      <c r="F43">
        <f t="shared" si="2"/>
        <v>-314.7517200000002</v>
      </c>
      <c r="G43" s="2">
        <f t="shared" si="1"/>
        <v>1095.0548999999999</v>
      </c>
      <c r="H43" s="6">
        <v>0.51649999999999996</v>
      </c>
    </row>
    <row r="44" spans="1:8" x14ac:dyDescent="0.2">
      <c r="A44" t="s">
        <v>16</v>
      </c>
      <c r="B44" s="1">
        <v>14</v>
      </c>
      <c r="C44" t="s">
        <v>6</v>
      </c>
      <c r="D44" t="s">
        <v>4</v>
      </c>
      <c r="E44">
        <f>F44/(B44-B26)</f>
        <v>24.554122222222205</v>
      </c>
      <c r="F44">
        <f t="shared" si="2"/>
        <v>220.98709999999983</v>
      </c>
      <c r="G44" s="2">
        <f t="shared" si="1"/>
        <v>586.1649799999999</v>
      </c>
      <c r="H44" s="6">
        <v>0.39329999999999998</v>
      </c>
    </row>
    <row r="45" spans="1:8" x14ac:dyDescent="0.2">
      <c r="A45" t="s">
        <v>7</v>
      </c>
      <c r="B45" s="1">
        <v>14</v>
      </c>
      <c r="C45" t="s">
        <v>6</v>
      </c>
      <c r="D45" t="s">
        <v>4</v>
      </c>
      <c r="E45">
        <f>F45/(B45-B27)</f>
        <v>4.5436600000000205</v>
      </c>
      <c r="F45">
        <f t="shared" si="2"/>
        <v>40.892940000000181</v>
      </c>
      <c r="G45" s="2">
        <f t="shared" si="1"/>
        <v>837.71852000000013</v>
      </c>
      <c r="H45" s="6">
        <v>0.45419999999999999</v>
      </c>
    </row>
    <row r="46" spans="1:8" x14ac:dyDescent="0.2">
      <c r="A46" t="s">
        <v>8</v>
      </c>
      <c r="B46" s="1">
        <v>14</v>
      </c>
      <c r="C46" t="s">
        <v>6</v>
      </c>
      <c r="D46" t="s">
        <v>4</v>
      </c>
      <c r="E46">
        <f>F46/(B46-B28)</f>
        <v>-11.014933333333349</v>
      </c>
      <c r="F46">
        <f t="shared" si="2"/>
        <v>-99.134400000000142</v>
      </c>
      <c r="G46" s="2">
        <f t="shared" si="1"/>
        <v>1068.6190600000002</v>
      </c>
      <c r="H46" s="6">
        <v>0.5101</v>
      </c>
    </row>
    <row r="47" spans="1:8" x14ac:dyDescent="0.2">
      <c r="A47" t="s">
        <v>9</v>
      </c>
      <c r="B47" s="1">
        <v>14</v>
      </c>
      <c r="C47" t="s">
        <v>6</v>
      </c>
      <c r="D47" t="s">
        <v>5</v>
      </c>
      <c r="E47">
        <f>F47/(B47-B29)</f>
        <v>50.714588888888912</v>
      </c>
      <c r="F47">
        <f t="shared" si="2"/>
        <v>456.43130000000019</v>
      </c>
      <c r="G47" s="2">
        <f t="shared" si="1"/>
        <v>1772.0602400000002</v>
      </c>
      <c r="H47" s="6">
        <v>0.6804</v>
      </c>
    </row>
    <row r="48" spans="1:8" x14ac:dyDescent="0.2">
      <c r="A48" t="s">
        <v>10</v>
      </c>
      <c r="B48" s="1">
        <v>14</v>
      </c>
      <c r="C48" t="s">
        <v>6</v>
      </c>
      <c r="D48" t="s">
        <v>5</v>
      </c>
      <c r="E48">
        <f>F48/(B48-B30)</f>
        <v>46.446302222222208</v>
      </c>
      <c r="F48">
        <f t="shared" si="2"/>
        <v>418.01671999999985</v>
      </c>
      <c r="G48" s="2">
        <f t="shared" si="1"/>
        <v>1233.8430600000002</v>
      </c>
      <c r="H48" s="6">
        <v>0.55010000000000003</v>
      </c>
    </row>
    <row r="49" spans="1:8" x14ac:dyDescent="0.2">
      <c r="A49" t="s">
        <v>11</v>
      </c>
      <c r="B49" s="1">
        <v>14</v>
      </c>
      <c r="C49" t="s">
        <v>6</v>
      </c>
      <c r="D49" t="s">
        <v>5</v>
      </c>
      <c r="E49">
        <f>F49/(B49-B31)</f>
        <v>-21.020164444444465</v>
      </c>
      <c r="F49">
        <f t="shared" si="2"/>
        <v>-189.18148000000019</v>
      </c>
      <c r="G49" s="2">
        <f t="shared" si="1"/>
        <v>1077.2933200000002</v>
      </c>
      <c r="H49" s="6">
        <v>0.51219999999999999</v>
      </c>
    </row>
    <row r="50" spans="1:8" x14ac:dyDescent="0.2">
      <c r="A50" t="s">
        <v>16</v>
      </c>
      <c r="B50" s="1">
        <v>14</v>
      </c>
      <c r="C50" t="s">
        <v>6</v>
      </c>
      <c r="D50" t="s">
        <v>4</v>
      </c>
      <c r="E50">
        <f>F50/(B50-B32)</f>
        <v>-5.8746311111111078</v>
      </c>
      <c r="F50">
        <f t="shared" si="2"/>
        <v>-52.871679999999969</v>
      </c>
      <c r="G50" s="2">
        <f t="shared" si="1"/>
        <v>611.77470000000028</v>
      </c>
      <c r="H50" s="1">
        <v>0.39950000000000002</v>
      </c>
    </row>
    <row r="51" spans="1:8" x14ac:dyDescent="0.2">
      <c r="A51" t="s">
        <v>7</v>
      </c>
      <c r="B51" s="1">
        <v>14</v>
      </c>
      <c r="C51" t="s">
        <v>6</v>
      </c>
      <c r="D51" t="s">
        <v>4</v>
      </c>
      <c r="E51">
        <f>F51/(B51-B33)</f>
        <v>-1.6751877777777762</v>
      </c>
      <c r="F51">
        <f t="shared" si="2"/>
        <v>-15.076689999999985</v>
      </c>
      <c r="G51" s="2">
        <f t="shared" si="1"/>
        <v>841.02300000000025</v>
      </c>
      <c r="H51" s="6">
        <v>0.45500000000000002</v>
      </c>
    </row>
    <row r="52" spans="1:8" x14ac:dyDescent="0.2">
      <c r="A52" t="s">
        <v>8</v>
      </c>
      <c r="B52" s="1">
        <v>14</v>
      </c>
      <c r="C52" t="s">
        <v>6</v>
      </c>
      <c r="D52" t="s">
        <v>4</v>
      </c>
      <c r="E52">
        <f>F52/(B52-B34)</f>
        <v>-29.878006666666678</v>
      </c>
      <c r="F52">
        <f t="shared" si="2"/>
        <v>-268.90206000000012</v>
      </c>
      <c r="G52" s="2">
        <f t="shared" si="1"/>
        <v>1063.6623400000003</v>
      </c>
      <c r="H52" s="6">
        <v>0.50890000000000002</v>
      </c>
    </row>
    <row r="53" spans="1:8" x14ac:dyDescent="0.2">
      <c r="A53" t="s">
        <v>9</v>
      </c>
      <c r="B53" s="1">
        <v>14</v>
      </c>
      <c r="C53" t="s">
        <v>6</v>
      </c>
      <c r="D53" t="s">
        <v>5</v>
      </c>
      <c r="E53">
        <f>F53/(B53-B35)</f>
        <v>3.0291066666666717</v>
      </c>
      <c r="F53">
        <f t="shared" si="2"/>
        <v>27.261960000000045</v>
      </c>
      <c r="G53" s="2">
        <f t="shared" si="1"/>
        <v>1814.19236</v>
      </c>
      <c r="H53" s="6">
        <v>0.69059999999999999</v>
      </c>
    </row>
    <row r="54" spans="1:8" x14ac:dyDescent="0.2">
      <c r="A54" t="s">
        <v>10</v>
      </c>
      <c r="B54" s="1">
        <v>14</v>
      </c>
      <c r="C54" t="s">
        <v>6</v>
      </c>
      <c r="D54" t="s">
        <v>5</v>
      </c>
      <c r="E54">
        <f>F54/(B54-B36)</f>
        <v>22.603561111111112</v>
      </c>
      <c r="F54">
        <f t="shared" si="2"/>
        <v>203.43205</v>
      </c>
      <c r="G54" s="2">
        <f t="shared" si="1"/>
        <v>1223.51656</v>
      </c>
      <c r="H54" s="1">
        <v>0.54759999999999998</v>
      </c>
    </row>
    <row r="55" spans="1:8" x14ac:dyDescent="0.2">
      <c r="A55" t="s">
        <v>11</v>
      </c>
      <c r="B55" s="1">
        <v>14</v>
      </c>
      <c r="C55" t="s">
        <v>6</v>
      </c>
      <c r="D55" t="s">
        <v>5</v>
      </c>
      <c r="E55">
        <f>F55/(B55-B37)</f>
        <v>-37.955624444444439</v>
      </c>
      <c r="F55">
        <f t="shared" si="2"/>
        <v>-341.60061999999994</v>
      </c>
      <c r="G55" s="2">
        <f t="shared" si="1"/>
        <v>1068.2060000000001</v>
      </c>
      <c r="H55" s="6">
        <v>0.51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A612-015A-6141-BF20-739C5A76E06D}">
  <dimension ref="A1:C3"/>
  <sheetViews>
    <sheetView workbookViewId="0">
      <selection activeCell="B3" sqref="B3"/>
    </sheetView>
  </sheetViews>
  <sheetFormatPr baseColWidth="10" defaultRowHeight="16" x14ac:dyDescent="0.2"/>
  <sheetData>
    <row r="1" spans="1:3" s="10" customFormat="1" x14ac:dyDescent="0.2">
      <c r="A1" s="10" t="s">
        <v>1</v>
      </c>
      <c r="B1" s="10" t="s">
        <v>20</v>
      </c>
      <c r="C1" s="10" t="s">
        <v>14</v>
      </c>
    </row>
    <row r="2" spans="1:3" x14ac:dyDescent="0.2">
      <c r="A2" t="s">
        <v>4</v>
      </c>
      <c r="B2" s="9">
        <f>AVERAGE(BS!G38:G40,BS!G44:G46,BS!G50:G52)</f>
        <v>843.54725555555569</v>
      </c>
      <c r="C2">
        <f>AVERAGE(BS!H38:H40,BS!H44:H46,BS!H50:H52)</f>
        <v>0.45561111111111113</v>
      </c>
    </row>
    <row r="3" spans="1:3" x14ac:dyDescent="0.2">
      <c r="A3" t="s">
        <v>5</v>
      </c>
      <c r="B3" s="9">
        <f>AVERAGE(BS!G41:G43,BS!G47:G49,BS!G53:G55)</f>
        <v>1392.1368311111112</v>
      </c>
      <c r="C3">
        <f>AVERAGE(BS!H41:H43,BS!H47:H49,BS!H53:H55)</f>
        <v>0.58842222222222218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2025-02-11T11:06:17Z</dcterms:created>
  <dcterms:modified xsi:type="dcterms:W3CDTF">2025-11-26T03:50:06Z</dcterms:modified>
</cp:coreProperties>
</file>