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ex-fig2/"/>
    </mc:Choice>
  </mc:AlternateContent>
  <xr:revisionPtr revIDLastSave="0" documentId="13_ncr:1_{CF10C12B-CC09-B94A-BEA0-65A5914D6BC6}" xr6:coauthVersionLast="47" xr6:coauthVersionMax="47" xr10:uidLastSave="{00000000-0000-0000-0000-000000000000}"/>
  <bookViews>
    <workbookView xWindow="6580" yWindow="620" windowWidth="21820" windowHeight="15340" xr2:uid="{1F896C81-CEA1-0C47-8631-C005F692F104}"/>
  </bookViews>
  <sheets>
    <sheet name="Perform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8" i="1"/>
  <c r="H29" i="1"/>
  <c r="H30" i="1"/>
  <c r="H31" i="1"/>
  <c r="H2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I26" authorId="0" shapeId="0" xr:uid="{0B7B78BA-ADE1-6F4D-A7B0-C453D7DFC69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参考</t>
        </r>
        <r>
          <rPr>
            <sz val="10"/>
            <color rgb="FF000000"/>
            <rFont val="Tahoma"/>
            <family val="2"/>
          </rPr>
          <t>Opto5</t>
        </r>
        <r>
          <rPr>
            <sz val="10"/>
            <color rgb="FF000000"/>
            <rFont val="Tahoma"/>
            <family val="2"/>
          </rPr>
          <t>的</t>
        </r>
        <r>
          <rPr>
            <sz val="10"/>
            <color rgb="FF000000"/>
            <rFont val="Tahoma"/>
            <family val="2"/>
          </rPr>
          <t xml:space="preserve">Day9-Day14, </t>
        </r>
        <r>
          <rPr>
            <sz val="10"/>
            <color rgb="FF000000"/>
            <rFont val="Tahoma"/>
            <family val="2"/>
          </rPr>
          <t>且稀释倍数进行换算，从稀释</t>
        </r>
        <r>
          <rPr>
            <sz val="10"/>
            <color rgb="FF000000"/>
            <rFont val="Tahoma"/>
            <family val="2"/>
          </rPr>
          <t>150</t>
        </r>
        <r>
          <rPr>
            <sz val="10"/>
            <color rgb="FF000000"/>
            <rFont val="Tahoma"/>
            <family val="2"/>
          </rPr>
          <t>倍换算到稀释</t>
        </r>
        <r>
          <rPr>
            <sz val="10"/>
            <color rgb="FF000000"/>
            <rFont val="Tahoma"/>
            <family val="2"/>
          </rPr>
          <t>30</t>
        </r>
        <r>
          <rPr>
            <sz val="10"/>
            <color rgb="FF000000"/>
            <rFont val="Tahoma"/>
            <family val="2"/>
          </rPr>
          <t>倍</t>
        </r>
      </text>
    </comment>
  </commentList>
</comments>
</file>

<file path=xl/sharedStrings.xml><?xml version="1.0" encoding="utf-8"?>
<sst xmlns="http://schemas.openxmlformats.org/spreadsheetml/2006/main" count="75" uniqueCount="23">
  <si>
    <t>Samples</t>
  </si>
  <si>
    <t>Time</t>
  </si>
  <si>
    <t>Group</t>
  </si>
  <si>
    <t>NO2</t>
  </si>
  <si>
    <t>NH4</t>
  </si>
  <si>
    <t>NO3</t>
  </si>
  <si>
    <t>TIN</t>
  </si>
  <si>
    <t>NH4_1</t>
  </si>
  <si>
    <t>NH4_2</t>
  </si>
  <si>
    <t>NH4_3</t>
  </si>
  <si>
    <t>D1</t>
  </si>
  <si>
    <t>Dark</t>
  </si>
  <si>
    <t>D2</t>
  </si>
  <si>
    <t>D3</t>
  </si>
  <si>
    <t>I1</t>
  </si>
  <si>
    <t>IR</t>
  </si>
  <si>
    <t>I2</t>
  </si>
  <si>
    <t>I3</t>
  </si>
  <si>
    <t>HCO3</t>
  </si>
  <si>
    <t>NO3_Raw</t>
  </si>
  <si>
    <t>NO2_Raw</t>
  </si>
  <si>
    <t>NH4_Raw</t>
  </si>
  <si>
    <t>NLR/NRR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</si>
</sst>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&quot;  &quot;"/>
  </numFmts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7" tint="-0.249977111117893"/>
      <name val="Arial"/>
      <family val="2"/>
    </font>
    <font>
      <sz val="12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</font>
    <font>
      <sz val="12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164" fontId="4" fillId="0" borderId="2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2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7" fillId="0" borderId="2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CC69-5860-AE45-AB73-4131ED711B57}">
  <dimension ref="A1:O36"/>
  <sheetViews>
    <sheetView tabSelected="1" workbookViewId="0">
      <selection activeCell="I10" sqref="I10"/>
    </sheetView>
  </sheetViews>
  <sheetFormatPr baseColWidth="10" defaultRowHeight="16" x14ac:dyDescent="0.2"/>
  <sheetData>
    <row r="1" spans="1:15" ht="17" thickBot="1" x14ac:dyDescent="0.25">
      <c r="A1" s="1" t="s">
        <v>0</v>
      </c>
      <c r="B1" s="2" t="s">
        <v>1</v>
      </c>
      <c r="C1" s="4" t="s">
        <v>2</v>
      </c>
      <c r="D1" s="1" t="s">
        <v>5</v>
      </c>
      <c r="E1" s="1" t="s">
        <v>3</v>
      </c>
      <c r="F1" s="1" t="s">
        <v>4</v>
      </c>
      <c r="G1" s="3" t="s">
        <v>6</v>
      </c>
      <c r="H1" s="5" t="s">
        <v>22</v>
      </c>
      <c r="I1" s="5" t="s">
        <v>18</v>
      </c>
      <c r="J1" s="5" t="s">
        <v>19</v>
      </c>
      <c r="K1" s="5" t="s">
        <v>20</v>
      </c>
      <c r="L1" s="5" t="s">
        <v>21</v>
      </c>
      <c r="M1" s="4" t="s">
        <v>7</v>
      </c>
      <c r="N1" s="4" t="s">
        <v>8</v>
      </c>
      <c r="O1" s="4" t="s">
        <v>9</v>
      </c>
    </row>
    <row r="2" spans="1:15" x14ac:dyDescent="0.2">
      <c r="A2" s="6" t="s">
        <v>10</v>
      </c>
      <c r="B2" s="7">
        <v>0</v>
      </c>
      <c r="C2" s="7" t="s">
        <v>11</v>
      </c>
      <c r="D2" s="8">
        <v>0.542575731736617</v>
      </c>
      <c r="E2" s="7">
        <v>126.7232920339805</v>
      </c>
      <c r="F2" s="7">
        <v>89.842804999999998</v>
      </c>
      <c r="G2" s="8">
        <v>217.1086727657171</v>
      </c>
      <c r="I2">
        <v>1454.0240800000001</v>
      </c>
      <c r="J2" s="9">
        <v>2.3806637431694026E-2</v>
      </c>
      <c r="K2" s="9">
        <v>1.1672635267759577</v>
      </c>
      <c r="L2">
        <f>AVERAGE(M2:O2)</f>
        <v>0.22539999999999999</v>
      </c>
      <c r="M2" s="10">
        <v>0.2223</v>
      </c>
      <c r="N2" s="10">
        <v>0.22850000000000001</v>
      </c>
      <c r="O2" s="7"/>
    </row>
    <row r="3" spans="1:15" x14ac:dyDescent="0.2">
      <c r="A3" s="6" t="s">
        <v>12</v>
      </c>
      <c r="B3" s="7">
        <v>0</v>
      </c>
      <c r="C3" s="7" t="s">
        <v>11</v>
      </c>
      <c r="D3" s="8">
        <v>0.37195992425764435</v>
      </c>
      <c r="E3" s="7">
        <v>123.08833509123022</v>
      </c>
      <c r="F3" s="7">
        <v>107.06875999999998</v>
      </c>
      <c r="G3" s="8">
        <v>230.52905501548784</v>
      </c>
      <c r="I3">
        <v>1407.5778000000005</v>
      </c>
      <c r="J3" s="9">
        <v>2.2499156456009903E-2</v>
      </c>
      <c r="K3" s="9">
        <v>1.1376619359851317</v>
      </c>
      <c r="L3">
        <f t="shared" ref="L3:L31" si="0">AVERAGE(M3:O3)</f>
        <v>0.23749999999999999</v>
      </c>
      <c r="M3" s="10">
        <v>0.25359999999999999</v>
      </c>
      <c r="N3" s="10">
        <v>0.22140000000000001</v>
      </c>
      <c r="O3" s="7"/>
    </row>
    <row r="4" spans="1:15" x14ac:dyDescent="0.2">
      <c r="A4" s="6" t="s">
        <v>13</v>
      </c>
      <c r="B4" s="7">
        <v>0</v>
      </c>
      <c r="C4" s="7" t="s">
        <v>11</v>
      </c>
      <c r="D4" s="8">
        <v>-0.10348450283831495</v>
      </c>
      <c r="E4" s="7">
        <v>121.55263011414696</v>
      </c>
      <c r="F4" s="7">
        <v>92.869730000000004</v>
      </c>
      <c r="G4" s="8">
        <v>214.31887561130864</v>
      </c>
      <c r="I4">
        <v>1362.3784000000001</v>
      </c>
      <c r="J4" s="9">
        <v>1.8855680786268009E-2</v>
      </c>
      <c r="K4" s="9">
        <v>1.1251557877630132</v>
      </c>
      <c r="L4">
        <f t="shared" si="0"/>
        <v>0.23075000000000001</v>
      </c>
      <c r="M4" s="10">
        <v>0.2278</v>
      </c>
      <c r="N4" s="10">
        <v>0.23369999999999999</v>
      </c>
      <c r="O4" s="7"/>
    </row>
    <row r="5" spans="1:15" x14ac:dyDescent="0.2">
      <c r="A5" s="6" t="s">
        <v>14</v>
      </c>
      <c r="B5" s="7">
        <v>0</v>
      </c>
      <c r="C5" s="7" t="s">
        <v>15</v>
      </c>
      <c r="D5" s="8">
        <v>0.28365227999703313</v>
      </c>
      <c r="E5" s="7">
        <v>121.62313776262565</v>
      </c>
      <c r="F5" s="7">
        <v>96.722180000000009</v>
      </c>
      <c r="G5" s="8">
        <v>218.62897004262268</v>
      </c>
      <c r="I5">
        <v>1376.7175200000001</v>
      </c>
      <c r="J5" s="9">
        <v>2.1822428041543031E-2</v>
      </c>
      <c r="K5" s="9">
        <v>1.1257299729846708</v>
      </c>
      <c r="L5">
        <f t="shared" si="0"/>
        <v>0.249</v>
      </c>
      <c r="M5" s="10">
        <v>0.23480000000000001</v>
      </c>
      <c r="N5" s="10">
        <v>0.26319999999999999</v>
      </c>
      <c r="O5" s="7"/>
    </row>
    <row r="6" spans="1:15" x14ac:dyDescent="0.2">
      <c r="A6" s="6" t="s">
        <v>16</v>
      </c>
      <c r="B6" s="7">
        <v>0</v>
      </c>
      <c r="C6" s="7" t="s">
        <v>15</v>
      </c>
      <c r="D6" s="8">
        <v>0.99969772281127245</v>
      </c>
      <c r="E6" s="7">
        <v>129.6259607956591</v>
      </c>
      <c r="F6" s="7">
        <v>95.951689999999985</v>
      </c>
      <c r="G6" s="8">
        <v>226.57734851847036</v>
      </c>
      <c r="I6">
        <v>1495.7945600000003</v>
      </c>
      <c r="J6" s="9">
        <v>2.7309702685308468E-2</v>
      </c>
      <c r="K6" s="9">
        <v>1.1909016645139832</v>
      </c>
      <c r="L6">
        <f t="shared" si="0"/>
        <v>0.24195</v>
      </c>
      <c r="M6" s="10">
        <v>0.2334</v>
      </c>
      <c r="N6" s="10">
        <v>0.2505</v>
      </c>
      <c r="O6" s="7"/>
    </row>
    <row r="7" spans="1:15" x14ac:dyDescent="0.2">
      <c r="A7" s="6" t="s">
        <v>17</v>
      </c>
      <c r="B7" s="7">
        <v>0</v>
      </c>
      <c r="C7" s="7" t="s">
        <v>15</v>
      </c>
      <c r="D7" s="8">
        <v>3.7591268766000034</v>
      </c>
      <c r="E7" s="7">
        <v>129.37413185463157</v>
      </c>
      <c r="F7" s="7">
        <v>101.12497999999999</v>
      </c>
      <c r="G7" s="8">
        <v>234.25823873123156</v>
      </c>
      <c r="I7">
        <v>1519.4852800000003</v>
      </c>
      <c r="J7" s="9">
        <v>4.8456050000000021E-2</v>
      </c>
      <c r="K7" s="9">
        <v>1.1888508734375025</v>
      </c>
      <c r="L7">
        <f t="shared" si="0"/>
        <v>0.2432</v>
      </c>
      <c r="M7" s="10">
        <v>0.24279999999999999</v>
      </c>
      <c r="N7" s="10">
        <v>0.24360000000000001</v>
      </c>
      <c r="O7" s="7"/>
    </row>
    <row r="8" spans="1:15" x14ac:dyDescent="0.2">
      <c r="A8" s="11" t="s">
        <v>10</v>
      </c>
      <c r="B8" s="12">
        <v>2</v>
      </c>
      <c r="C8" s="12" t="s">
        <v>11</v>
      </c>
      <c r="D8" s="13">
        <v>3.1626658376292598</v>
      </c>
      <c r="E8" s="12">
        <v>126.09573757051859</v>
      </c>
      <c r="F8" s="12">
        <v>108.224495</v>
      </c>
      <c r="G8" s="13">
        <v>237.48289840814786</v>
      </c>
      <c r="I8">
        <v>1560.0088800000003</v>
      </c>
      <c r="J8" s="14">
        <v>4.3885187119741133E-2</v>
      </c>
      <c r="K8" s="14">
        <v>1.1621529819417455</v>
      </c>
      <c r="L8">
        <f t="shared" si="0"/>
        <v>0.2515</v>
      </c>
      <c r="M8" s="15">
        <v>0.25569999999999998</v>
      </c>
      <c r="N8" s="15">
        <v>0.24729999999999999</v>
      </c>
      <c r="O8" s="12"/>
    </row>
    <row r="9" spans="1:15" x14ac:dyDescent="0.2">
      <c r="A9" s="11" t="s">
        <v>12</v>
      </c>
      <c r="B9" s="12">
        <v>2</v>
      </c>
      <c r="C9" s="12" t="s">
        <v>11</v>
      </c>
      <c r="D9" s="13">
        <v>2.9317442406999565</v>
      </c>
      <c r="E9" s="12">
        <v>120.07228189821198</v>
      </c>
      <c r="F9" s="12">
        <v>106.90365500000001</v>
      </c>
      <c r="G9" s="13">
        <v>229.90768113891198</v>
      </c>
      <c r="I9">
        <v>1510.7571200000002</v>
      </c>
      <c r="J9" s="14">
        <v>4.2115564484412504E-2</v>
      </c>
      <c r="K9" s="14">
        <v>1.1131004421822532</v>
      </c>
      <c r="L9">
        <f t="shared" si="0"/>
        <v>0.25960000000000005</v>
      </c>
      <c r="M9" s="15">
        <v>0.25330000000000003</v>
      </c>
      <c r="N9" s="15">
        <v>0.26590000000000003</v>
      </c>
      <c r="O9" s="12"/>
    </row>
    <row r="10" spans="1:15" x14ac:dyDescent="0.2">
      <c r="A10" s="11" t="s">
        <v>13</v>
      </c>
      <c r="B10" s="12">
        <v>2</v>
      </c>
      <c r="C10" s="12" t="s">
        <v>11</v>
      </c>
      <c r="D10" s="13">
        <v>7.2453906076442802</v>
      </c>
      <c r="E10" s="12">
        <v>116.96616980269624</v>
      </c>
      <c r="F10" s="12">
        <v>127.87199</v>
      </c>
      <c r="G10" s="13">
        <v>252.08355041034051</v>
      </c>
      <c r="I10">
        <v>1513.2508800000001</v>
      </c>
      <c r="J10" s="14">
        <v>7.5172352386692509E-2</v>
      </c>
      <c r="K10" s="14">
        <v>1.0878055458052074</v>
      </c>
      <c r="L10">
        <f t="shared" si="0"/>
        <v>0.30809999999999998</v>
      </c>
      <c r="M10" s="15">
        <v>0.29139999999999999</v>
      </c>
      <c r="N10" s="15">
        <v>0.32479999999999998</v>
      </c>
      <c r="O10" s="12"/>
    </row>
    <row r="11" spans="1:15" x14ac:dyDescent="0.2">
      <c r="A11" s="11" t="s">
        <v>14</v>
      </c>
      <c r="B11" s="12">
        <v>2</v>
      </c>
      <c r="C11" s="12" t="s">
        <v>15</v>
      </c>
      <c r="D11" s="13">
        <v>2.9572601423000706</v>
      </c>
      <c r="E11" s="12">
        <v>107.83536421351556</v>
      </c>
      <c r="F11" s="12">
        <v>133.81577000000001</v>
      </c>
      <c r="G11" s="13">
        <v>244.60839435581565</v>
      </c>
      <c r="I11">
        <v>1542.5525600000001</v>
      </c>
      <c r="J11" s="14">
        <v>4.2311100621494575E-2</v>
      </c>
      <c r="K11" s="14">
        <v>1.0134480293618322</v>
      </c>
      <c r="L11">
        <f t="shared" si="0"/>
        <v>0.29980000000000001</v>
      </c>
      <c r="M11" s="15">
        <v>0.30220000000000002</v>
      </c>
      <c r="N11" s="15">
        <v>0.2974</v>
      </c>
      <c r="O11" s="12"/>
    </row>
    <row r="12" spans="1:15" x14ac:dyDescent="0.2">
      <c r="A12" s="11" t="s">
        <v>16</v>
      </c>
      <c r="B12" s="12">
        <v>2</v>
      </c>
      <c r="C12" s="12" t="s">
        <v>15</v>
      </c>
      <c r="D12" s="13">
        <v>5.7678708401411889</v>
      </c>
      <c r="E12" s="12">
        <v>108.73298644901209</v>
      </c>
      <c r="F12" s="12">
        <v>111.41652500000001</v>
      </c>
      <c r="G12" s="13">
        <v>225.9173822891533</v>
      </c>
      <c r="I12">
        <v>1549.7221200000004</v>
      </c>
      <c r="J12" s="14">
        <v>6.3849667720175862E-2</v>
      </c>
      <c r="K12" s="14">
        <v>1.0207578947930884</v>
      </c>
      <c r="L12">
        <f t="shared" si="0"/>
        <v>0.25850000000000001</v>
      </c>
      <c r="M12" s="15">
        <v>0.26150000000000001</v>
      </c>
      <c r="N12" s="15">
        <v>0.2555</v>
      </c>
      <c r="O12" s="12"/>
    </row>
    <row r="13" spans="1:15" x14ac:dyDescent="0.2">
      <c r="A13" s="11" t="s">
        <v>17</v>
      </c>
      <c r="B13" s="12">
        <v>2</v>
      </c>
      <c r="C13" s="12" t="s">
        <v>15</v>
      </c>
      <c r="D13" s="13">
        <v>5.655899552689954</v>
      </c>
      <c r="E13" s="12">
        <v>104.9668167450438</v>
      </c>
      <c r="F13" s="12">
        <v>140.91528499999998</v>
      </c>
      <c r="G13" s="13">
        <v>251.53800129773373</v>
      </c>
      <c r="I13">
        <v>1554.3979200000003</v>
      </c>
      <c r="J13" s="14">
        <v>6.2991597589813583E-2</v>
      </c>
      <c r="K13" s="14">
        <v>0.99008776136880527</v>
      </c>
      <c r="L13">
        <f t="shared" si="0"/>
        <v>0.31240000000000001</v>
      </c>
      <c r="M13" s="15">
        <v>0.31509999999999999</v>
      </c>
      <c r="N13" s="15">
        <v>0.30969999999999998</v>
      </c>
      <c r="O13" s="12"/>
    </row>
    <row r="14" spans="1:15" x14ac:dyDescent="0.2">
      <c r="A14" s="6" t="s">
        <v>10</v>
      </c>
      <c r="B14" s="7">
        <v>5</v>
      </c>
      <c r="C14" s="7" t="s">
        <v>11</v>
      </c>
      <c r="D14" s="8">
        <v>-0.58749435316655796</v>
      </c>
      <c r="E14" s="7">
        <v>113.96069789712215</v>
      </c>
      <c r="F14" s="7">
        <v>128.31227000000001</v>
      </c>
      <c r="G14" s="8">
        <v>241.6854735439556</v>
      </c>
      <c r="H14" s="16"/>
      <c r="I14" s="16">
        <v>1640.7443600000006</v>
      </c>
      <c r="J14" s="9">
        <v>1.514656566558442E-2</v>
      </c>
      <c r="K14" s="9">
        <v>1.0633302216450222</v>
      </c>
      <c r="L14">
        <f t="shared" si="0"/>
        <v>0.29205000000000003</v>
      </c>
      <c r="M14" s="7">
        <v>0.29220000000000002</v>
      </c>
      <c r="N14" s="7">
        <v>0.29189999999999999</v>
      </c>
      <c r="O14" s="7">
        <v>0.29205000000000003</v>
      </c>
    </row>
    <row r="15" spans="1:15" x14ac:dyDescent="0.2">
      <c r="A15" s="6" t="s">
        <v>12</v>
      </c>
      <c r="B15" s="7">
        <v>5</v>
      </c>
      <c r="C15" s="7" t="s">
        <v>11</v>
      </c>
      <c r="D15" s="8">
        <v>-0.56588868961424676</v>
      </c>
      <c r="E15" s="7">
        <v>114.0029805748915</v>
      </c>
      <c r="F15" s="7">
        <v>119.28653</v>
      </c>
      <c r="G15" s="8">
        <v>232.72362188527725</v>
      </c>
      <c r="H15" s="16"/>
      <c r="I15" s="16">
        <v>1512.3157200000001</v>
      </c>
      <c r="J15" s="9">
        <v>1.5312136455765513E-2</v>
      </c>
      <c r="K15" s="9">
        <v>1.0636745543412773</v>
      </c>
      <c r="L15">
        <f t="shared" si="0"/>
        <v>0.28149999999999997</v>
      </c>
      <c r="M15" s="7">
        <v>0.27579999999999999</v>
      </c>
      <c r="N15" s="7">
        <v>0.28720000000000001</v>
      </c>
      <c r="O15" s="7">
        <v>0.28149999999999997</v>
      </c>
    </row>
    <row r="16" spans="1:15" x14ac:dyDescent="0.2">
      <c r="A16" s="6" t="s">
        <v>13</v>
      </c>
      <c r="B16" s="7">
        <v>5</v>
      </c>
      <c r="C16" s="7" t="s">
        <v>11</v>
      </c>
      <c r="D16" s="8">
        <v>4.2412367819402581</v>
      </c>
      <c r="E16" s="7">
        <v>76.834892031441868</v>
      </c>
      <c r="F16" s="7">
        <v>131.77947499999999</v>
      </c>
      <c r="G16" s="8">
        <v>212.85560381338212</v>
      </c>
      <c r="H16" s="16"/>
      <c r="I16" s="16">
        <v>1602.0910800000001</v>
      </c>
      <c r="J16" s="9">
        <v>5.2150605262700073E-2</v>
      </c>
      <c r="K16" s="9">
        <v>0.76099296419624307</v>
      </c>
      <c r="L16">
        <f t="shared" si="0"/>
        <v>0.31309999999999999</v>
      </c>
      <c r="M16" s="7">
        <v>0.29849999999999999</v>
      </c>
      <c r="N16" s="7">
        <v>0.32769999999999999</v>
      </c>
      <c r="O16" s="7">
        <v>0.31309999999999999</v>
      </c>
    </row>
    <row r="17" spans="1:15" x14ac:dyDescent="0.2">
      <c r="A17" s="6" t="s">
        <v>14</v>
      </c>
      <c r="B17" s="7">
        <v>5</v>
      </c>
      <c r="C17" s="7" t="s">
        <v>15</v>
      </c>
      <c r="D17" s="8">
        <v>2.7949074691661631</v>
      </c>
      <c r="E17" s="7">
        <v>60.265904256440578</v>
      </c>
      <c r="F17" s="7">
        <v>120.60736999999999</v>
      </c>
      <c r="G17" s="8">
        <v>183.66818172560673</v>
      </c>
      <c r="H17" s="16"/>
      <c r="I17" s="16">
        <v>1581.5175600000002</v>
      </c>
      <c r="J17" s="9">
        <v>4.1066942564802152E-2</v>
      </c>
      <c r="K17" s="9">
        <v>0.6260619585038647</v>
      </c>
      <c r="L17">
        <f t="shared" si="0"/>
        <v>0.27315</v>
      </c>
      <c r="M17" s="7">
        <v>0.2782</v>
      </c>
      <c r="N17" s="7">
        <v>0.2681</v>
      </c>
      <c r="O17" s="7">
        <v>0.27315</v>
      </c>
    </row>
    <row r="18" spans="1:15" x14ac:dyDescent="0.2">
      <c r="A18" s="6" t="s">
        <v>16</v>
      </c>
      <c r="B18" s="7">
        <v>5</v>
      </c>
      <c r="C18" s="7" t="s">
        <v>15</v>
      </c>
      <c r="D18" s="8">
        <v>-0.6871013673843005</v>
      </c>
      <c r="E18" s="7">
        <v>99.553293867084165</v>
      </c>
      <c r="F18" s="7">
        <v>119.781845</v>
      </c>
      <c r="G18" s="8">
        <v>218.64803749969988</v>
      </c>
      <c r="H18" s="16"/>
      <c r="I18" s="16">
        <v>1629.8341600000003</v>
      </c>
      <c r="J18" s="9">
        <v>1.4383246732487046E-2</v>
      </c>
      <c r="K18" s="9">
        <v>0.94600226283497968</v>
      </c>
      <c r="L18">
        <f t="shared" si="0"/>
        <v>0.26734999999999998</v>
      </c>
      <c r="M18" s="7">
        <v>0.2767</v>
      </c>
      <c r="N18" s="7">
        <v>0.25800000000000001</v>
      </c>
      <c r="O18" s="7">
        <v>0.26734999999999998</v>
      </c>
    </row>
    <row r="19" spans="1:15" x14ac:dyDescent="0.2">
      <c r="A19" s="6" t="s">
        <v>17</v>
      </c>
      <c r="B19" s="7">
        <v>5</v>
      </c>
      <c r="C19" s="7" t="s">
        <v>15</v>
      </c>
      <c r="D19" s="8">
        <v>3.0631610258634541</v>
      </c>
      <c r="E19" s="7">
        <v>87.667076310674446</v>
      </c>
      <c r="F19" s="7">
        <v>133.70570000000001</v>
      </c>
      <c r="G19" s="8">
        <v>224.4359373365379</v>
      </c>
      <c r="H19" s="16"/>
      <c r="I19" s="16">
        <v>1582.1410000000001</v>
      </c>
      <c r="J19" s="9">
        <v>4.3122651395207781E-2</v>
      </c>
      <c r="K19" s="9">
        <v>0.84920580727934492</v>
      </c>
      <c r="L19">
        <f t="shared" si="0"/>
        <v>0.29944999999999999</v>
      </c>
      <c r="M19" s="7">
        <v>0.30199999999999999</v>
      </c>
      <c r="N19" s="7">
        <v>0.2969</v>
      </c>
      <c r="O19" s="7">
        <v>0.29944999999999999</v>
      </c>
    </row>
    <row r="20" spans="1:15" x14ac:dyDescent="0.2">
      <c r="A20" s="6" t="s">
        <v>10</v>
      </c>
      <c r="B20" s="7">
        <v>10</v>
      </c>
      <c r="C20" s="7" t="s">
        <v>11</v>
      </c>
      <c r="D20" s="8">
        <v>2.6318014790635229</v>
      </c>
      <c r="E20" s="7">
        <v>92.832714995146944</v>
      </c>
      <c r="F20" s="7">
        <v>137.06283499999998</v>
      </c>
      <c r="G20" s="8">
        <v>232.52735147421043</v>
      </c>
      <c r="H20" s="16"/>
      <c r="I20">
        <v>1454.0240800000001</v>
      </c>
      <c r="J20" s="9">
        <v>3.9817011610393915E-2</v>
      </c>
      <c r="K20" s="9">
        <v>0.89127263913439314</v>
      </c>
      <c r="L20">
        <f t="shared" si="0"/>
        <v>0.4240000000000001</v>
      </c>
      <c r="M20" s="10">
        <v>0.30809999999999998</v>
      </c>
      <c r="N20" s="10">
        <v>0.53990000000000005</v>
      </c>
      <c r="O20" s="7">
        <v>0.42400000000000004</v>
      </c>
    </row>
    <row r="21" spans="1:15" x14ac:dyDescent="0.2">
      <c r="A21" s="6" t="s">
        <v>12</v>
      </c>
      <c r="B21" s="7">
        <v>10</v>
      </c>
      <c r="C21" s="7" t="s">
        <v>11</v>
      </c>
      <c r="D21" s="8">
        <v>3.8899433779610963</v>
      </c>
      <c r="E21" s="7">
        <v>103.99729613140653</v>
      </c>
      <c r="F21" s="7">
        <v>105.91302499999999</v>
      </c>
      <c r="G21" s="8">
        <v>213.80026450936762</v>
      </c>
      <c r="H21" s="16"/>
      <c r="I21">
        <v>1407.5778000000005</v>
      </c>
      <c r="J21" s="9">
        <v>4.9458536752912792E-2</v>
      </c>
      <c r="K21" s="9">
        <v>0.98219238518686725</v>
      </c>
      <c r="L21">
        <f t="shared" si="0"/>
        <v>0.25105</v>
      </c>
      <c r="M21" s="10">
        <v>0.2515</v>
      </c>
      <c r="N21" s="10">
        <v>0.25059999999999999</v>
      </c>
      <c r="O21" s="7">
        <v>0.25105</v>
      </c>
    </row>
    <row r="22" spans="1:15" x14ac:dyDescent="0.2">
      <c r="A22" s="6" t="s">
        <v>13</v>
      </c>
      <c r="B22" s="7">
        <v>10</v>
      </c>
      <c r="C22" s="7" t="s">
        <v>11</v>
      </c>
      <c r="D22" s="8">
        <v>2.5452677946261155</v>
      </c>
      <c r="E22" s="7">
        <v>54.258961374517781</v>
      </c>
      <c r="F22" s="7">
        <v>148.06983499999998</v>
      </c>
      <c r="G22" s="8">
        <v>204.87406416914388</v>
      </c>
      <c r="H22" s="16"/>
      <c r="I22">
        <v>1362.3784000000001</v>
      </c>
      <c r="J22" s="9">
        <v>3.9153877591163559E-2</v>
      </c>
      <c r="K22" s="9">
        <v>0.57714389210167905</v>
      </c>
      <c r="L22">
        <f t="shared" si="0"/>
        <v>0.30435000000000001</v>
      </c>
      <c r="M22" s="10">
        <v>0.3281</v>
      </c>
      <c r="N22" s="10">
        <v>0.28060000000000002</v>
      </c>
      <c r="O22" s="7">
        <v>0.30435000000000001</v>
      </c>
    </row>
    <row r="23" spans="1:15" x14ac:dyDescent="0.2">
      <c r="A23" s="6" t="s">
        <v>14</v>
      </c>
      <c r="B23" s="7">
        <v>10</v>
      </c>
      <c r="C23" s="7" t="s">
        <v>15</v>
      </c>
      <c r="D23" s="8">
        <v>-0.16880554264586733</v>
      </c>
      <c r="E23" s="7">
        <v>35.716867315457662</v>
      </c>
      <c r="F23" s="7">
        <v>106.18819999999999</v>
      </c>
      <c r="G23" s="8">
        <v>141.73626177281179</v>
      </c>
      <c r="H23" s="16"/>
      <c r="I23">
        <v>1376.7175200000001</v>
      </c>
      <c r="J23" s="9">
        <v>1.8355105733333328E-2</v>
      </c>
      <c r="K23" s="9">
        <v>0.42614472226666711</v>
      </c>
      <c r="L23">
        <f t="shared" si="0"/>
        <v>0.25890000000000002</v>
      </c>
      <c r="M23" s="10">
        <v>0.252</v>
      </c>
      <c r="N23" s="10">
        <v>0.26579999999999998</v>
      </c>
      <c r="O23" s="7">
        <v>0.25890000000000002</v>
      </c>
    </row>
    <row r="24" spans="1:15" x14ac:dyDescent="0.2">
      <c r="A24" s="6" t="s">
        <v>16</v>
      </c>
      <c r="B24" s="7">
        <v>10</v>
      </c>
      <c r="C24" s="7" t="s">
        <v>15</v>
      </c>
      <c r="D24" s="8">
        <v>2.5184802725714288</v>
      </c>
      <c r="E24" s="7">
        <v>106.57356772165301</v>
      </c>
      <c r="F24" s="7">
        <v>87.311194999999998</v>
      </c>
      <c r="G24" s="8">
        <v>196.40324299422443</v>
      </c>
      <c r="H24" s="16"/>
      <c r="I24">
        <v>1495.7945600000003</v>
      </c>
      <c r="J24" s="9">
        <v>3.8948596638655464E-2</v>
      </c>
      <c r="K24" s="9">
        <v>1.003172478921569</v>
      </c>
      <c r="L24">
        <f t="shared" si="0"/>
        <v>0.21245</v>
      </c>
      <c r="M24" s="10">
        <v>0.2177</v>
      </c>
      <c r="N24" s="10">
        <v>0.2072</v>
      </c>
      <c r="O24" s="7">
        <v>0.21245</v>
      </c>
    </row>
    <row r="25" spans="1:15" x14ac:dyDescent="0.2">
      <c r="A25" s="6" t="s">
        <v>17</v>
      </c>
      <c r="B25" s="7">
        <v>10</v>
      </c>
      <c r="C25" s="7" t="s">
        <v>15</v>
      </c>
      <c r="D25" s="8">
        <v>2.7561709253386319</v>
      </c>
      <c r="E25" s="7">
        <v>80.448034798496082</v>
      </c>
      <c r="F25" s="7">
        <v>117.74555000000002</v>
      </c>
      <c r="G25" s="8">
        <v>200.94975572383473</v>
      </c>
      <c r="H25" s="16"/>
      <c r="I25">
        <v>1519.4852800000003</v>
      </c>
      <c r="J25" s="9">
        <v>4.077009261363633E-2</v>
      </c>
      <c r="K25" s="9">
        <v>0.79041690933333397</v>
      </c>
      <c r="L25">
        <f t="shared" si="0"/>
        <v>0.2732</v>
      </c>
      <c r="M25" s="10">
        <v>0.27300000000000002</v>
      </c>
      <c r="N25" s="10">
        <v>0.27339999999999998</v>
      </c>
      <c r="O25" s="7">
        <v>0.2732</v>
      </c>
    </row>
    <row r="26" spans="1:15" x14ac:dyDescent="0.2">
      <c r="A26" s="11" t="s">
        <v>10</v>
      </c>
      <c r="B26" s="12">
        <v>14</v>
      </c>
      <c r="C26" s="12" t="s">
        <v>11</v>
      </c>
      <c r="D26" s="13">
        <v>5.7026519873575809</v>
      </c>
      <c r="E26" s="12">
        <v>91.557934845118041</v>
      </c>
      <c r="F26" s="12">
        <v>112.02190999999999</v>
      </c>
      <c r="G26" s="13">
        <v>209.2824968324756</v>
      </c>
      <c r="H26" s="17">
        <f>(G14-G26)/G14/9</f>
        <v>1.4896761037916512E-2</v>
      </c>
      <c r="I26" s="17">
        <v>762.76290000000017</v>
      </c>
      <c r="J26" s="14">
        <v>6.3349875757575794E-2</v>
      </c>
      <c r="K26" s="14">
        <v>0.88089135513467898</v>
      </c>
      <c r="L26">
        <f t="shared" si="0"/>
        <v>0.30083333333333334</v>
      </c>
      <c r="M26" s="15">
        <v>0.2626</v>
      </c>
      <c r="N26" s="15">
        <v>0.39360000000000001</v>
      </c>
      <c r="O26" s="15">
        <v>0.24629999999999999</v>
      </c>
    </row>
    <row r="27" spans="1:15" x14ac:dyDescent="0.2">
      <c r="A27" s="11" t="s">
        <v>12</v>
      </c>
      <c r="B27" s="12">
        <v>14</v>
      </c>
      <c r="C27" s="12" t="s">
        <v>11</v>
      </c>
      <c r="D27" s="13">
        <v>6.0443223543999869</v>
      </c>
      <c r="E27" s="12">
        <v>91.834822821799918</v>
      </c>
      <c r="F27" s="12">
        <v>89.01728</v>
      </c>
      <c r="G27" s="13">
        <v>186.8964251761999</v>
      </c>
      <c r="H27" s="17">
        <f>(G15-G27)/G15/9</f>
        <v>2.1879647215026297E-2</v>
      </c>
      <c r="I27" s="17">
        <v>802.50720000000058</v>
      </c>
      <c r="J27" s="14">
        <v>6.5968199999999894E-2</v>
      </c>
      <c r="K27" s="14">
        <v>0.88314621666666582</v>
      </c>
      <c r="L27">
        <f t="shared" si="0"/>
        <v>0.22393333333333332</v>
      </c>
      <c r="M27" s="15">
        <v>0.2208</v>
      </c>
      <c r="N27" s="15">
        <v>0.22600000000000001</v>
      </c>
      <c r="O27" s="15">
        <v>0.22500000000000001</v>
      </c>
    </row>
    <row r="28" spans="1:15" x14ac:dyDescent="0.2">
      <c r="A28" s="11" t="s">
        <v>13</v>
      </c>
      <c r="B28" s="12">
        <v>14</v>
      </c>
      <c r="C28" s="12" t="s">
        <v>11</v>
      </c>
      <c r="D28" s="13">
        <v>0.2597030776419057</v>
      </c>
      <c r="E28" s="12">
        <v>46.450388699726943</v>
      </c>
      <c r="F28" s="12">
        <v>141.24549499999998</v>
      </c>
      <c r="G28" s="13">
        <v>187.95558677736884</v>
      </c>
      <c r="H28" s="17">
        <f t="shared" ref="H27:H31" si="1">(G16-G28)/G16/9</f>
        <v>1.2997865736166689E-2</v>
      </c>
      <c r="I28" s="17">
        <v>1130.9821500000003</v>
      </c>
      <c r="J28" s="14">
        <v>2.1638897998665862E-2</v>
      </c>
      <c r="K28" s="14">
        <v>0.5135540954080503</v>
      </c>
      <c r="L28">
        <f t="shared" si="0"/>
        <v>0.31556666666666666</v>
      </c>
      <c r="M28" s="15">
        <v>0.31569999999999998</v>
      </c>
      <c r="N28" s="15">
        <v>0.32340000000000002</v>
      </c>
      <c r="O28" s="15">
        <v>0.30759999999999998</v>
      </c>
    </row>
    <row r="29" spans="1:15" x14ac:dyDescent="0.2">
      <c r="A29" s="11" t="s">
        <v>14</v>
      </c>
      <c r="B29" s="12">
        <v>14</v>
      </c>
      <c r="C29" s="12" t="s">
        <v>15</v>
      </c>
      <c r="D29" s="13">
        <v>0.57834100394054677</v>
      </c>
      <c r="E29" s="12">
        <v>24.430752955674421</v>
      </c>
      <c r="F29" s="12">
        <v>110.31582500000002</v>
      </c>
      <c r="G29" s="13">
        <v>135.32491895961499</v>
      </c>
      <c r="H29" s="17">
        <f t="shared" si="1"/>
        <v>2.9245531752965934E-2</v>
      </c>
      <c r="I29" s="17">
        <v>829.39305000000081</v>
      </c>
      <c r="J29" s="14">
        <v>2.4080717622080638E-2</v>
      </c>
      <c r="K29" s="14">
        <v>0.33423525974522311</v>
      </c>
      <c r="L29">
        <f t="shared" si="0"/>
        <v>0.29436666666666667</v>
      </c>
      <c r="M29" s="15">
        <v>0.25950000000000001</v>
      </c>
      <c r="N29" s="15">
        <v>0.35310000000000002</v>
      </c>
      <c r="O29" s="15">
        <v>0.27050000000000002</v>
      </c>
    </row>
    <row r="30" spans="1:15" x14ac:dyDescent="0.2">
      <c r="A30" s="11" t="s">
        <v>16</v>
      </c>
      <c r="B30" s="12">
        <v>14</v>
      </c>
      <c r="C30" s="12" t="s">
        <v>15</v>
      </c>
      <c r="D30" s="13">
        <v>1.239478118695776</v>
      </c>
      <c r="E30" s="12">
        <v>101.41127628631904</v>
      </c>
      <c r="F30" s="12">
        <v>72.396709999999985</v>
      </c>
      <c r="G30" s="13">
        <v>175.04746440501481</v>
      </c>
      <c r="H30" s="17">
        <f t="shared" si="1"/>
        <v>2.2156650373037646E-2</v>
      </c>
      <c r="I30" s="17">
        <v>410.90895000000063</v>
      </c>
      <c r="J30" s="14">
        <v>2.9147212999231953E-2</v>
      </c>
      <c r="K30" s="14">
        <v>0.96113290568356491</v>
      </c>
      <c r="L30">
        <f t="shared" si="0"/>
        <v>0.19620000000000001</v>
      </c>
      <c r="M30" s="15">
        <v>0.19059999999999999</v>
      </c>
      <c r="N30" s="15">
        <v>0.20039999999999999</v>
      </c>
      <c r="O30" s="15">
        <v>0.1976</v>
      </c>
    </row>
    <row r="31" spans="1:15" x14ac:dyDescent="0.2">
      <c r="A31" s="11" t="s">
        <v>17</v>
      </c>
      <c r="B31" s="12">
        <v>14</v>
      </c>
      <c r="C31" s="12" t="s">
        <v>15</v>
      </c>
      <c r="D31" s="13">
        <v>3.5474254926162678</v>
      </c>
      <c r="E31" s="12">
        <v>87.409157335454708</v>
      </c>
      <c r="F31" s="12">
        <v>91.603925000000004</v>
      </c>
      <c r="G31" s="13">
        <v>182.560507828071</v>
      </c>
      <c r="H31" s="17">
        <f t="shared" si="1"/>
        <v>2.0731196421382082E-2</v>
      </c>
      <c r="I31" s="17">
        <v>489.22860000000048</v>
      </c>
      <c r="J31" s="14">
        <v>4.6833717719218557E-2</v>
      </c>
      <c r="K31" s="14">
        <v>0.8471054214750865</v>
      </c>
      <c r="L31">
        <f t="shared" si="0"/>
        <v>0.2282666666666667</v>
      </c>
      <c r="M31" s="15">
        <v>0.22550000000000001</v>
      </c>
      <c r="N31" s="15">
        <v>0.23</v>
      </c>
      <c r="O31" s="15">
        <v>0.2293</v>
      </c>
    </row>
    <row r="33" spans="8:8" x14ac:dyDescent="0.2">
      <c r="H33" s="17"/>
    </row>
    <row r="36" spans="8:8" x14ac:dyDescent="0.2">
      <c r="H36" s="1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2025-07-11T12:49:34Z</dcterms:created>
  <dcterms:modified xsi:type="dcterms:W3CDTF">2025-11-16T09:06:09Z</dcterms:modified>
</cp:coreProperties>
</file>