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ex-fig2/"/>
    </mc:Choice>
  </mc:AlternateContent>
  <xr:revisionPtr revIDLastSave="0" documentId="13_ncr:1_{9F112FA8-2E99-D648-AABE-97F06ACCF3CA}" xr6:coauthVersionLast="47" xr6:coauthVersionMax="47" xr10:uidLastSave="{00000000-0000-0000-0000-000000000000}"/>
  <bookViews>
    <workbookView xWindow="13100" yWindow="620" windowWidth="21640" windowHeight="15460" activeTab="1" xr2:uid="{EBE0BDB8-7839-3A4A-936F-86A49299B147}"/>
  </bookViews>
  <sheets>
    <sheet name="gl_co2_stack" sheetId="10" r:id="rId1"/>
    <sheet name="gl_co2" sheetId="9" r:id="rId2"/>
    <sheet name="CO2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3" i="9"/>
  <c r="H4" i="9"/>
  <c r="H5" i="9"/>
  <c r="H6" i="9"/>
  <c r="H7" i="9"/>
  <c r="H13" i="10"/>
  <c r="H12" i="10"/>
  <c r="H11" i="10"/>
  <c r="H10" i="10"/>
  <c r="H9" i="10"/>
  <c r="H8" i="10"/>
  <c r="F7" i="10"/>
  <c r="H7" i="10" s="1"/>
  <c r="H6" i="10"/>
  <c r="I6" i="10" s="1"/>
  <c r="I12" i="10" s="1"/>
  <c r="F6" i="10"/>
  <c r="F5" i="10"/>
  <c r="H5" i="10" s="1"/>
  <c r="I5" i="10" s="1"/>
  <c r="I11" i="10" s="1"/>
  <c r="F4" i="10"/>
  <c r="H4" i="10" s="1"/>
  <c r="I4" i="10" s="1"/>
  <c r="I10" i="10" s="1"/>
  <c r="F3" i="10"/>
  <c r="H3" i="10" s="1"/>
  <c r="F2" i="10"/>
  <c r="H2" i="10" s="1"/>
  <c r="I2" i="10" s="1"/>
  <c r="I8" i="10" s="1"/>
  <c r="E3" i="9"/>
  <c r="F3" i="9" s="1"/>
  <c r="E4" i="9"/>
  <c r="F4" i="9" s="1"/>
  <c r="E5" i="9"/>
  <c r="F5" i="9" s="1"/>
  <c r="E6" i="9"/>
  <c r="F6" i="9" s="1"/>
  <c r="E7" i="9"/>
  <c r="F7" i="9" s="1"/>
  <c r="E2" i="9"/>
  <c r="F2" i="9" s="1"/>
  <c r="E109" i="8"/>
  <c r="H109" i="8" s="1"/>
  <c r="E108" i="8"/>
  <c r="H108" i="8" s="1"/>
  <c r="E107" i="8"/>
  <c r="H107" i="8" s="1"/>
  <c r="E106" i="8"/>
  <c r="H106" i="8" s="1"/>
  <c r="E105" i="8"/>
  <c r="H105" i="8" s="1"/>
  <c r="E104" i="8"/>
  <c r="H104" i="8" s="1"/>
  <c r="E91" i="8"/>
  <c r="H91" i="8" s="1"/>
  <c r="E90" i="8"/>
  <c r="H90" i="8" s="1"/>
  <c r="E89" i="8"/>
  <c r="H89" i="8" s="1"/>
  <c r="E88" i="8"/>
  <c r="H88" i="8" s="1"/>
  <c r="E87" i="8"/>
  <c r="H87" i="8" s="1"/>
  <c r="E86" i="8"/>
  <c r="H86" i="8" s="1"/>
  <c r="E85" i="8"/>
  <c r="H85" i="8" s="1"/>
  <c r="E84" i="8"/>
  <c r="H84" i="8" s="1"/>
  <c r="E83" i="8"/>
  <c r="H83" i="8" s="1"/>
  <c r="E82" i="8"/>
  <c r="H82" i="8" s="1"/>
  <c r="E81" i="8"/>
  <c r="H81" i="8" s="1"/>
  <c r="E80" i="8"/>
  <c r="H80" i="8" s="1"/>
  <c r="E79" i="8"/>
  <c r="H79" i="8" s="1"/>
  <c r="E78" i="8"/>
  <c r="H78" i="8" s="1"/>
  <c r="E77" i="8"/>
  <c r="H77" i="8" s="1"/>
  <c r="E76" i="8"/>
  <c r="H76" i="8" s="1"/>
  <c r="E75" i="8"/>
  <c r="H75" i="8" s="1"/>
  <c r="E74" i="8"/>
  <c r="H74" i="8" s="1"/>
  <c r="E73" i="8"/>
  <c r="H73" i="8" s="1"/>
  <c r="E72" i="8"/>
  <c r="H72" i="8" s="1"/>
  <c r="E71" i="8"/>
  <c r="H71" i="8" s="1"/>
  <c r="E70" i="8"/>
  <c r="H70" i="8" s="1"/>
  <c r="E69" i="8"/>
  <c r="H69" i="8" s="1"/>
  <c r="E68" i="8"/>
  <c r="H68" i="8" s="1"/>
  <c r="E61" i="8"/>
  <c r="H61" i="8" s="1"/>
  <c r="E60" i="8"/>
  <c r="H60" i="8" s="1"/>
  <c r="E59" i="8"/>
  <c r="H59" i="8" s="1"/>
  <c r="E58" i="8"/>
  <c r="H58" i="8" s="1"/>
  <c r="E57" i="8"/>
  <c r="H57" i="8" s="1"/>
  <c r="E56" i="8"/>
  <c r="H56" i="8" s="1"/>
  <c r="E55" i="8"/>
  <c r="H55" i="8" s="1"/>
  <c r="E54" i="8"/>
  <c r="H54" i="8" s="1"/>
  <c r="E53" i="8"/>
  <c r="H53" i="8" s="1"/>
  <c r="E52" i="8"/>
  <c r="H52" i="8" s="1"/>
  <c r="E51" i="8"/>
  <c r="H51" i="8" s="1"/>
  <c r="E50" i="8"/>
  <c r="H50" i="8" s="1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I7" i="10" l="1"/>
  <c r="I13" i="10" s="1"/>
  <c r="I3" i="10"/>
  <c r="I9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104" authorId="0" shapeId="0" xr:uid="{3B884A41-D06A-B34A-996C-6C1D4F28F4C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参考</t>
        </r>
        <r>
          <rPr>
            <sz val="10"/>
            <color rgb="FF000000"/>
            <rFont val="Tahoma"/>
            <family val="2"/>
          </rPr>
          <t>Opto5</t>
        </r>
        <r>
          <rPr>
            <sz val="10"/>
            <color rgb="FF000000"/>
            <rFont val="Tahoma"/>
            <family val="2"/>
          </rPr>
          <t>的</t>
        </r>
        <r>
          <rPr>
            <sz val="10"/>
            <color rgb="FF000000"/>
            <rFont val="Tahoma"/>
            <family val="2"/>
          </rPr>
          <t xml:space="preserve">Day9-Day14, </t>
        </r>
        <r>
          <rPr>
            <sz val="10"/>
            <color rgb="FF000000"/>
            <rFont val="Tahoma"/>
            <family val="2"/>
          </rPr>
          <t>且稀释倍数进行换算，从稀释</t>
        </r>
        <r>
          <rPr>
            <sz val="10"/>
            <color rgb="FF000000"/>
            <rFont val="Tahoma"/>
            <family val="2"/>
          </rPr>
          <t>150</t>
        </r>
        <r>
          <rPr>
            <sz val="10"/>
            <color rgb="FF000000"/>
            <rFont val="Tahoma"/>
            <family val="2"/>
          </rPr>
          <t>倍换算到稀释</t>
        </r>
        <r>
          <rPr>
            <sz val="10"/>
            <color rgb="FF000000"/>
            <rFont val="Tahoma"/>
            <family val="2"/>
          </rPr>
          <t>30</t>
        </r>
        <r>
          <rPr>
            <sz val="10"/>
            <color rgb="FF000000"/>
            <rFont val="Tahoma"/>
            <family val="2"/>
          </rPr>
          <t>倍</t>
        </r>
      </text>
    </comment>
    <comment ref="G104" authorId="0" shapeId="0" xr:uid="{52DCBC2B-1ED1-E845-B879-E428A95B7E6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参考</t>
        </r>
        <r>
          <rPr>
            <sz val="10"/>
            <color rgb="FF000000"/>
            <rFont val="Tahoma"/>
            <family val="2"/>
          </rPr>
          <t>Opto5</t>
        </r>
        <r>
          <rPr>
            <sz val="10"/>
            <color rgb="FF000000"/>
            <rFont val="Tahoma"/>
            <family val="2"/>
          </rPr>
          <t>的</t>
        </r>
        <r>
          <rPr>
            <sz val="10"/>
            <color rgb="FF000000"/>
            <rFont val="Tahoma"/>
            <family val="2"/>
          </rPr>
          <t xml:space="preserve">Day9-Day14, </t>
        </r>
        <r>
          <rPr>
            <sz val="10"/>
            <color rgb="FF000000"/>
            <rFont val="Tahoma"/>
            <family val="2"/>
          </rPr>
          <t>且稀释倍数进行换算，从稀释</t>
        </r>
        <r>
          <rPr>
            <sz val="10"/>
            <color rgb="FF000000"/>
            <rFont val="Tahoma"/>
            <family val="2"/>
          </rPr>
          <t>150</t>
        </r>
        <r>
          <rPr>
            <sz val="10"/>
            <color rgb="FF000000"/>
            <rFont val="Tahoma"/>
            <family val="2"/>
          </rPr>
          <t>倍换算到稀释</t>
        </r>
        <r>
          <rPr>
            <sz val="10"/>
            <color rgb="FF000000"/>
            <rFont val="Tahoma"/>
            <family val="2"/>
          </rPr>
          <t>30</t>
        </r>
        <r>
          <rPr>
            <sz val="10"/>
            <color rgb="FF000000"/>
            <rFont val="Tahoma"/>
            <family val="2"/>
          </rPr>
          <t>倍</t>
        </r>
      </text>
    </comment>
  </commentList>
</comments>
</file>

<file path=xl/sharedStrings.xml><?xml version="1.0" encoding="utf-8"?>
<sst xmlns="http://schemas.openxmlformats.org/spreadsheetml/2006/main" count="415" uniqueCount="46">
  <si>
    <t>Samples</t>
  </si>
  <si>
    <t>Group</t>
  </si>
  <si>
    <t>Time</t>
  </si>
  <si>
    <t>Batch</t>
  </si>
  <si>
    <t>Dark</t>
  </si>
  <si>
    <t>IR</t>
  </si>
  <si>
    <t>Opto4</t>
  </si>
  <si>
    <t>D2</t>
  </si>
  <si>
    <t>D3</t>
  </si>
  <si>
    <t>I1</t>
  </si>
  <si>
    <t>I2</t>
  </si>
  <si>
    <t>I3</t>
  </si>
  <si>
    <t>Opto5</t>
  </si>
  <si>
    <t>Opto6</t>
  </si>
  <si>
    <t>D1-0103</t>
  </si>
  <si>
    <t>D1-0105</t>
  </si>
  <si>
    <t>D1-0107</t>
  </si>
  <si>
    <t>D1-0106</t>
  </si>
  <si>
    <t>D1-0108</t>
  </si>
  <si>
    <t>D1-0109</t>
  </si>
  <si>
    <t>D1-0112</t>
  </si>
  <si>
    <t>D1-0117</t>
  </si>
  <si>
    <t>D1-0122</t>
  </si>
  <si>
    <t>D1-0126</t>
  </si>
  <si>
    <t>D1-0212</t>
  </si>
  <si>
    <t>CNconversion</t>
  </si>
  <si>
    <t>D1-250217</t>
  </si>
  <si>
    <t>D1-250314</t>
  </si>
  <si>
    <t>CCUS</t>
  </si>
  <si>
    <t>D1-Opto6-20250126</t>
  </si>
  <si>
    <t>D1-Opto6-20250206</t>
  </si>
  <si>
    <t>D1-250217'</t>
  </si>
  <si>
    <t>D1-1016-9:30</t>
  </si>
  <si>
    <t>TIC</t>
  </si>
  <si>
    <t>TIC_All</t>
  </si>
  <si>
    <t>GC_Area</t>
  </si>
  <si>
    <t>CO2_ppm</t>
  </si>
  <si>
    <t>D1</t>
  </si>
  <si>
    <t>C_m</t>
  </si>
  <si>
    <t>TIC_m</t>
  </si>
  <si>
    <t>Phase</t>
  </si>
  <si>
    <t>Gas</t>
  </si>
  <si>
    <t>Liquid</t>
  </si>
  <si>
    <t>C_ppm</t>
  </si>
  <si>
    <t>Percentage</t>
  </si>
  <si>
    <t>V(ml)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</si>
</sst>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42E63-2752-4B42-AA2E-EDB68CC70EA6}">
  <dimension ref="A1:J13"/>
  <sheetViews>
    <sheetView workbookViewId="0">
      <selection activeCell="F1" sqref="F1:I13"/>
    </sheetView>
  </sheetViews>
  <sheetFormatPr baseColWidth="10" defaultRowHeight="16" x14ac:dyDescent="0.2"/>
  <cols>
    <col min="9" max="9" width="12.1640625" bestFit="1" customWidth="1"/>
  </cols>
  <sheetData>
    <row r="1" spans="1:10" x14ac:dyDescent="0.2">
      <c r="A1" s="9" t="s">
        <v>0</v>
      </c>
      <c r="B1" s="10" t="s">
        <v>1</v>
      </c>
      <c r="C1" s="10" t="s">
        <v>40</v>
      </c>
      <c r="D1" s="10" t="s">
        <v>3</v>
      </c>
      <c r="E1" s="10" t="s">
        <v>35</v>
      </c>
      <c r="F1" s="10" t="s">
        <v>43</v>
      </c>
      <c r="G1" s="10" t="s">
        <v>45</v>
      </c>
      <c r="H1" s="10" t="s">
        <v>38</v>
      </c>
      <c r="I1" s="10" t="s">
        <v>44</v>
      </c>
      <c r="J1" s="10"/>
    </row>
    <row r="2" spans="1:10" x14ac:dyDescent="0.2">
      <c r="A2" s="5" t="s">
        <v>37</v>
      </c>
      <c r="B2" t="s">
        <v>4</v>
      </c>
      <c r="C2" t="s">
        <v>41</v>
      </c>
      <c r="D2" t="s">
        <v>12</v>
      </c>
      <c r="E2">
        <v>808.2</v>
      </c>
      <c r="F2">
        <f>(E2-47.368)/7624.1</f>
        <v>9.9793024750462339E-2</v>
      </c>
      <c r="G2">
        <v>10</v>
      </c>
      <c r="H2">
        <f>F2*G2*0.247</f>
        <v>0.24648877113364198</v>
      </c>
      <c r="I2">
        <f>H2/(H2+H8)</f>
        <v>1.0989126063426931E-5</v>
      </c>
    </row>
    <row r="3" spans="1:10" x14ac:dyDescent="0.2">
      <c r="A3" s="5" t="s">
        <v>7</v>
      </c>
      <c r="B3" t="s">
        <v>4</v>
      </c>
      <c r="C3" t="s">
        <v>41</v>
      </c>
      <c r="D3" t="s">
        <v>13</v>
      </c>
      <c r="E3">
        <v>498.4</v>
      </c>
      <c r="F3">
        <f t="shared" ref="F3:F7" si="0">(E3-47.368)/7624.1</f>
        <v>5.9158720373552284E-2</v>
      </c>
      <c r="G3">
        <v>10</v>
      </c>
      <c r="H3">
        <f t="shared" ref="H3:H7" si="1">F3*G3*0.247</f>
        <v>0.14612203932267415</v>
      </c>
      <c r="I3">
        <f t="shared" ref="I3:I7" si="2">H3/(H3+H9)</f>
        <v>4.3313094237782474E-6</v>
      </c>
    </row>
    <row r="4" spans="1:10" x14ac:dyDescent="0.2">
      <c r="A4" s="5" t="s">
        <v>8</v>
      </c>
      <c r="B4" t="s">
        <v>4</v>
      </c>
      <c r="C4" t="s">
        <v>41</v>
      </c>
      <c r="D4" t="s">
        <v>13</v>
      </c>
      <c r="E4">
        <v>366.8</v>
      </c>
      <c r="F4">
        <f t="shared" si="0"/>
        <v>4.1897666609829354E-2</v>
      </c>
      <c r="G4">
        <v>10</v>
      </c>
      <c r="H4">
        <f t="shared" si="1"/>
        <v>0.1034872365262785</v>
      </c>
      <c r="I4">
        <f t="shared" si="2"/>
        <v>3.6157976517940911E-6</v>
      </c>
    </row>
    <row r="5" spans="1:10" x14ac:dyDescent="0.2">
      <c r="A5" s="5" t="s">
        <v>9</v>
      </c>
      <c r="B5" t="s">
        <v>5</v>
      </c>
      <c r="C5" t="s">
        <v>41</v>
      </c>
      <c r="D5" t="s">
        <v>12</v>
      </c>
      <c r="E5">
        <v>514.70000000000005</v>
      </c>
      <c r="F5">
        <f t="shared" si="0"/>
        <v>6.1296677640639556E-2</v>
      </c>
      <c r="G5">
        <v>10</v>
      </c>
      <c r="H5">
        <f t="shared" si="1"/>
        <v>0.1514027937723797</v>
      </c>
      <c r="I5">
        <f t="shared" si="2"/>
        <v>-5.2656687418313392E-5</v>
      </c>
    </row>
    <row r="6" spans="1:10" x14ac:dyDescent="0.2">
      <c r="A6" s="5" t="s">
        <v>10</v>
      </c>
      <c r="B6" t="s">
        <v>5</v>
      </c>
      <c r="C6" t="s">
        <v>41</v>
      </c>
      <c r="D6" t="s">
        <v>13</v>
      </c>
      <c r="E6">
        <v>484.8</v>
      </c>
      <c r="F6">
        <f t="shared" si="0"/>
        <v>5.7374903267270891E-2</v>
      </c>
      <c r="G6">
        <v>10</v>
      </c>
      <c r="H6">
        <f t="shared" si="1"/>
        <v>0.1417160110701591</v>
      </c>
      <c r="I6">
        <f t="shared" si="2"/>
        <v>6.0579605307446309E-6</v>
      </c>
    </row>
    <row r="7" spans="1:10" x14ac:dyDescent="0.2">
      <c r="A7" s="5" t="s">
        <v>11</v>
      </c>
      <c r="B7" t="s">
        <v>5</v>
      </c>
      <c r="C7" t="s">
        <v>41</v>
      </c>
      <c r="D7" t="s">
        <v>13</v>
      </c>
      <c r="E7">
        <v>486.8</v>
      </c>
      <c r="F7">
        <f t="shared" si="0"/>
        <v>5.7637229312312271E-2</v>
      </c>
      <c r="G7">
        <v>10</v>
      </c>
      <c r="H7">
        <f t="shared" si="1"/>
        <v>0.14236395640141133</v>
      </c>
      <c r="I7">
        <f t="shared" si="2"/>
        <v>5.4185076658910491E-6</v>
      </c>
    </row>
    <row r="8" spans="1:10" x14ac:dyDescent="0.2">
      <c r="A8" s="5" t="s">
        <v>37</v>
      </c>
      <c r="B8" t="s">
        <v>4</v>
      </c>
      <c r="C8" t="s">
        <v>42</v>
      </c>
      <c r="D8" t="s">
        <v>12</v>
      </c>
      <c r="F8">
        <v>747.66656000000035</v>
      </c>
      <c r="G8">
        <v>30</v>
      </c>
      <c r="H8">
        <f>F8*G8</f>
        <v>22429.996800000012</v>
      </c>
      <c r="I8">
        <f>1-I2</f>
        <v>0.99998901087393655</v>
      </c>
    </row>
    <row r="9" spans="1:10" x14ac:dyDescent="0.2">
      <c r="A9" s="5" t="s">
        <v>7</v>
      </c>
      <c r="B9" t="s">
        <v>4</v>
      </c>
      <c r="C9" t="s">
        <v>42</v>
      </c>
      <c r="D9" t="s">
        <v>13</v>
      </c>
      <c r="F9">
        <v>1124.5360400000002</v>
      </c>
      <c r="G9">
        <v>30</v>
      </c>
      <c r="H9">
        <f t="shared" ref="H9:H13" si="3">F9*G9</f>
        <v>33736.081200000008</v>
      </c>
      <c r="I9">
        <f t="shared" ref="I9:I13" si="4">1-I3</f>
        <v>0.99999566869057621</v>
      </c>
    </row>
    <row r="10" spans="1:10" x14ac:dyDescent="0.2">
      <c r="A10" s="5" t="s">
        <v>8</v>
      </c>
      <c r="B10" t="s">
        <v>4</v>
      </c>
      <c r="C10" t="s">
        <v>42</v>
      </c>
      <c r="D10" t="s">
        <v>13</v>
      </c>
      <c r="F10">
        <v>954.02520000000027</v>
      </c>
      <c r="G10">
        <v>30</v>
      </c>
      <c r="H10">
        <f t="shared" si="3"/>
        <v>28620.756000000008</v>
      </c>
      <c r="I10">
        <f t="shared" si="4"/>
        <v>0.99999638420234815</v>
      </c>
    </row>
    <row r="11" spans="1:10" x14ac:dyDescent="0.2">
      <c r="A11" s="5" t="s">
        <v>9</v>
      </c>
      <c r="B11" t="s">
        <v>5</v>
      </c>
      <c r="C11" t="s">
        <v>42</v>
      </c>
      <c r="D11" t="s">
        <v>12</v>
      </c>
      <c r="F11">
        <v>-95.847759999999994</v>
      </c>
      <c r="G11">
        <v>30</v>
      </c>
      <c r="H11">
        <f t="shared" si="3"/>
        <v>-2875.4327999999996</v>
      </c>
      <c r="I11">
        <f t="shared" si="4"/>
        <v>1.0000526566874184</v>
      </c>
    </row>
    <row r="12" spans="1:10" x14ac:dyDescent="0.2">
      <c r="A12" s="5" t="s">
        <v>10</v>
      </c>
      <c r="B12" t="s">
        <v>5</v>
      </c>
      <c r="C12" t="s">
        <v>42</v>
      </c>
      <c r="D12" t="s">
        <v>13</v>
      </c>
      <c r="F12">
        <v>779.77372000000014</v>
      </c>
      <c r="G12">
        <v>30</v>
      </c>
      <c r="H12">
        <f t="shared" si="3"/>
        <v>23393.211600000002</v>
      </c>
      <c r="I12">
        <f t="shared" si="4"/>
        <v>0.99999394203946923</v>
      </c>
    </row>
    <row r="13" spans="1:10" x14ac:dyDescent="0.2">
      <c r="A13" s="5" t="s">
        <v>11</v>
      </c>
      <c r="B13" t="s">
        <v>5</v>
      </c>
      <c r="C13" t="s">
        <v>42</v>
      </c>
      <c r="D13" t="s">
        <v>13</v>
      </c>
      <c r="F13">
        <v>875.78348000000005</v>
      </c>
      <c r="G13">
        <v>30</v>
      </c>
      <c r="H13">
        <f t="shared" si="3"/>
        <v>26273.504400000002</v>
      </c>
      <c r="I13">
        <f t="shared" si="4"/>
        <v>0.99999458149233411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21CF-C4C8-2442-A8BF-C63827A826C0}">
  <dimension ref="A1:H7"/>
  <sheetViews>
    <sheetView tabSelected="1" workbookViewId="0">
      <selection activeCell="B8" sqref="B8"/>
    </sheetView>
  </sheetViews>
  <sheetFormatPr baseColWidth="10" defaultRowHeight="16" x14ac:dyDescent="0.2"/>
  <sheetData>
    <row r="1" spans="1:8" x14ac:dyDescent="0.2">
      <c r="A1" s="9" t="s">
        <v>0</v>
      </c>
      <c r="B1" s="10" t="s">
        <v>1</v>
      </c>
      <c r="C1" s="10" t="s">
        <v>3</v>
      </c>
      <c r="D1" s="10" t="s">
        <v>35</v>
      </c>
      <c r="E1" s="10" t="s">
        <v>36</v>
      </c>
      <c r="F1" s="10" t="s">
        <v>38</v>
      </c>
      <c r="G1" s="10" t="s">
        <v>33</v>
      </c>
      <c r="H1" s="10" t="s">
        <v>39</v>
      </c>
    </row>
    <row r="2" spans="1:8" x14ac:dyDescent="0.2">
      <c r="A2" s="5" t="s">
        <v>37</v>
      </c>
      <c r="B2" t="s">
        <v>4</v>
      </c>
      <c r="C2" t="s">
        <v>12</v>
      </c>
      <c r="D2">
        <v>808.2</v>
      </c>
      <c r="E2">
        <f>(D2-47.368)/7624.1</f>
        <v>9.9793024750462339E-2</v>
      </c>
      <c r="F2">
        <f>E2*0.247*10</f>
        <v>0.24648877113364195</v>
      </c>
      <c r="G2">
        <v>747.66656000000035</v>
      </c>
      <c r="H2">
        <f t="shared" ref="H2:H7" si="0">G2*30</f>
        <v>22429.996800000012</v>
      </c>
    </row>
    <row r="3" spans="1:8" x14ac:dyDescent="0.2">
      <c r="A3" s="5" t="s">
        <v>7</v>
      </c>
      <c r="B3" t="s">
        <v>4</v>
      </c>
      <c r="C3" t="s">
        <v>13</v>
      </c>
      <c r="D3">
        <v>498.4</v>
      </c>
      <c r="E3">
        <f t="shared" ref="E3:E7" si="1">(D3-47.368)/7624.1</f>
        <v>5.9158720373552284E-2</v>
      </c>
      <c r="F3">
        <f t="shared" ref="F3:F7" si="2">E3*0.247*10</f>
        <v>0.14612203932267415</v>
      </c>
      <c r="G3">
        <v>1124.5360400000002</v>
      </c>
      <c r="H3">
        <f t="shared" si="0"/>
        <v>33736.081200000008</v>
      </c>
    </row>
    <row r="4" spans="1:8" x14ac:dyDescent="0.2">
      <c r="A4" s="5" t="s">
        <v>8</v>
      </c>
      <c r="B4" t="s">
        <v>4</v>
      </c>
      <c r="C4" t="s">
        <v>13</v>
      </c>
      <c r="D4">
        <v>366.8</v>
      </c>
      <c r="E4">
        <f t="shared" si="1"/>
        <v>4.1897666609829354E-2</v>
      </c>
      <c r="F4">
        <f t="shared" si="2"/>
        <v>0.1034872365262785</v>
      </c>
      <c r="G4">
        <v>954.02520000000027</v>
      </c>
      <c r="H4">
        <f t="shared" si="0"/>
        <v>28620.756000000008</v>
      </c>
    </row>
    <row r="5" spans="1:8" x14ac:dyDescent="0.2">
      <c r="A5" s="5" t="s">
        <v>9</v>
      </c>
      <c r="B5" t="s">
        <v>5</v>
      </c>
      <c r="C5" t="s">
        <v>12</v>
      </c>
      <c r="D5">
        <v>514.70000000000005</v>
      </c>
      <c r="E5">
        <f t="shared" si="1"/>
        <v>6.1296677640639556E-2</v>
      </c>
      <c r="F5">
        <f t="shared" si="2"/>
        <v>0.1514027937723797</v>
      </c>
      <c r="G5">
        <v>-95.847759999999994</v>
      </c>
      <c r="H5">
        <f t="shared" si="0"/>
        <v>-2875.4327999999996</v>
      </c>
    </row>
    <row r="6" spans="1:8" x14ac:dyDescent="0.2">
      <c r="A6" s="5" t="s">
        <v>10</v>
      </c>
      <c r="B6" t="s">
        <v>5</v>
      </c>
      <c r="C6" t="s">
        <v>13</v>
      </c>
      <c r="D6">
        <v>484.8</v>
      </c>
      <c r="E6">
        <f t="shared" si="1"/>
        <v>5.7374903267270891E-2</v>
      </c>
      <c r="F6">
        <f t="shared" si="2"/>
        <v>0.1417160110701591</v>
      </c>
      <c r="G6">
        <v>779.77372000000014</v>
      </c>
      <c r="H6">
        <f t="shared" si="0"/>
        <v>23393.211600000002</v>
      </c>
    </row>
    <row r="7" spans="1:8" x14ac:dyDescent="0.2">
      <c r="A7" s="5" t="s">
        <v>11</v>
      </c>
      <c r="B7" t="s">
        <v>5</v>
      </c>
      <c r="C7" t="s">
        <v>13</v>
      </c>
      <c r="D7">
        <v>486.8</v>
      </c>
      <c r="E7">
        <f t="shared" si="1"/>
        <v>5.7637229312312271E-2</v>
      </c>
      <c r="F7">
        <f t="shared" si="2"/>
        <v>0.14236395640141131</v>
      </c>
      <c r="G7">
        <v>875.78348000000005</v>
      </c>
      <c r="H7">
        <f t="shared" si="0"/>
        <v>26273.504400000002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96031-2B9F-4E4C-8FBB-83C6A603F59E}">
  <dimension ref="A1:H109"/>
  <sheetViews>
    <sheetView zoomScale="111" workbookViewId="0">
      <pane ySplit="1" topLeftCell="A42" activePane="bottomLeft" state="frozen"/>
      <selection pane="bottomLeft" activeCell="C44" sqref="C44:C49"/>
    </sheetView>
  </sheetViews>
  <sheetFormatPr baseColWidth="10" defaultRowHeight="16" x14ac:dyDescent="0.2"/>
  <cols>
    <col min="5" max="6" width="13.83203125" customWidth="1"/>
  </cols>
  <sheetData>
    <row r="1" spans="1:8" ht="28" customHeight="1" x14ac:dyDescent="0.2">
      <c r="A1" s="9" t="s">
        <v>0</v>
      </c>
      <c r="B1" s="10" t="s">
        <v>2</v>
      </c>
      <c r="C1" s="10" t="s">
        <v>1</v>
      </c>
      <c r="D1" s="10" t="s">
        <v>3</v>
      </c>
      <c r="E1" s="10" t="s">
        <v>25</v>
      </c>
      <c r="F1" s="10" t="s">
        <v>33</v>
      </c>
      <c r="G1" s="10" t="s">
        <v>34</v>
      </c>
      <c r="H1" s="10" t="s">
        <v>28</v>
      </c>
    </row>
    <row r="2" spans="1:8" x14ac:dyDescent="0.2">
      <c r="A2" s="5" t="s">
        <v>14</v>
      </c>
      <c r="B2" s="2">
        <v>0</v>
      </c>
      <c r="C2" t="s">
        <v>4</v>
      </c>
      <c r="D2" t="s">
        <v>12</v>
      </c>
      <c r="F2">
        <v>1107.3914400000003</v>
      </c>
      <c r="G2">
        <v>1107.3914400000003</v>
      </c>
    </row>
    <row r="3" spans="1:8" x14ac:dyDescent="0.2">
      <c r="A3" s="5" t="s">
        <v>7</v>
      </c>
      <c r="B3" s="2">
        <v>0</v>
      </c>
      <c r="C3" t="s">
        <v>4</v>
      </c>
      <c r="D3" t="s">
        <v>12</v>
      </c>
      <c r="F3">
        <v>1113.6258400000002</v>
      </c>
      <c r="G3">
        <v>1113.6258400000002</v>
      </c>
    </row>
    <row r="4" spans="1:8" x14ac:dyDescent="0.2">
      <c r="A4" s="5" t="s">
        <v>8</v>
      </c>
      <c r="B4" s="2">
        <v>0</v>
      </c>
      <c r="C4" t="s">
        <v>4</v>
      </c>
      <c r="D4" t="s">
        <v>12</v>
      </c>
      <c r="F4">
        <v>1120.1719600000001</v>
      </c>
      <c r="G4">
        <v>1120.1719600000001</v>
      </c>
    </row>
    <row r="5" spans="1:8" x14ac:dyDescent="0.2">
      <c r="A5" s="5" t="s">
        <v>9</v>
      </c>
      <c r="B5" s="2">
        <v>0</v>
      </c>
      <c r="C5" t="s">
        <v>5</v>
      </c>
      <c r="D5" t="s">
        <v>12</v>
      </c>
      <c r="F5">
        <v>1110.8203600000004</v>
      </c>
      <c r="G5">
        <v>1110.8203600000004</v>
      </c>
    </row>
    <row r="6" spans="1:8" x14ac:dyDescent="0.2">
      <c r="A6" s="5" t="s">
        <v>10</v>
      </c>
      <c r="B6" s="2">
        <v>0</v>
      </c>
      <c r="C6" t="s">
        <v>5</v>
      </c>
      <c r="D6" t="s">
        <v>12</v>
      </c>
      <c r="F6">
        <v>1182.8276800000003</v>
      </c>
      <c r="G6">
        <v>1182.8276800000003</v>
      </c>
    </row>
    <row r="7" spans="1:8" x14ac:dyDescent="0.2">
      <c r="A7" s="5" t="s">
        <v>11</v>
      </c>
      <c r="B7" s="2">
        <v>0</v>
      </c>
      <c r="C7" t="s">
        <v>5</v>
      </c>
      <c r="D7" t="s">
        <v>12</v>
      </c>
      <c r="F7">
        <v>1169.4237200000002</v>
      </c>
      <c r="G7">
        <v>1169.4237200000002</v>
      </c>
    </row>
    <row r="8" spans="1:8" x14ac:dyDescent="0.2">
      <c r="A8" s="5" t="s">
        <v>15</v>
      </c>
      <c r="B8" s="4">
        <v>2</v>
      </c>
      <c r="C8" t="s">
        <v>4</v>
      </c>
      <c r="D8" t="s">
        <v>12</v>
      </c>
      <c r="E8">
        <f>(G2-G8)/(B8-B2)</f>
        <v>-63.902600000000007</v>
      </c>
      <c r="F8">
        <v>1235.1966400000003</v>
      </c>
      <c r="G8">
        <v>1235.1966400000003</v>
      </c>
    </row>
    <row r="9" spans="1:8" x14ac:dyDescent="0.2">
      <c r="A9" s="5" t="s">
        <v>7</v>
      </c>
      <c r="B9" s="4">
        <v>2</v>
      </c>
      <c r="C9" t="s">
        <v>4</v>
      </c>
      <c r="D9" t="s">
        <v>12</v>
      </c>
      <c r="E9">
        <f t="shared" ref="E9:E61" si="0">(G3-G9)/(B9-B3)</f>
        <v>-67.48738000000003</v>
      </c>
      <c r="F9">
        <v>1248.6006000000002</v>
      </c>
      <c r="G9">
        <v>1248.6006000000002</v>
      </c>
    </row>
    <row r="10" spans="1:8" x14ac:dyDescent="0.2">
      <c r="A10" s="5" t="s">
        <v>8</v>
      </c>
      <c r="B10" s="4">
        <v>2</v>
      </c>
      <c r="C10" t="s">
        <v>4</v>
      </c>
      <c r="D10" t="s">
        <v>12</v>
      </c>
      <c r="E10">
        <f t="shared" si="0"/>
        <v>-68.422540000000026</v>
      </c>
      <c r="F10">
        <v>1257.0170400000002</v>
      </c>
      <c r="G10">
        <v>1257.0170400000002</v>
      </c>
    </row>
    <row r="11" spans="1:8" x14ac:dyDescent="0.2">
      <c r="A11" s="5" t="s">
        <v>9</v>
      </c>
      <c r="B11" s="4">
        <v>2</v>
      </c>
      <c r="C11" t="s">
        <v>5</v>
      </c>
      <c r="D11" t="s">
        <v>12</v>
      </c>
      <c r="E11">
        <f>(G5-G11)/(B11-B5)</f>
        <v>-88.060899999999833</v>
      </c>
      <c r="F11">
        <v>1286.9421600000001</v>
      </c>
      <c r="G11">
        <v>1286.9421600000001</v>
      </c>
    </row>
    <row r="12" spans="1:8" x14ac:dyDescent="0.2">
      <c r="A12" s="5" t="s">
        <v>10</v>
      </c>
      <c r="B12" s="4">
        <v>2</v>
      </c>
      <c r="C12" t="s">
        <v>5</v>
      </c>
      <c r="D12" t="s">
        <v>12</v>
      </c>
      <c r="E12">
        <f t="shared" si="0"/>
        <v>-217.73641999999995</v>
      </c>
      <c r="F12">
        <v>1618.3005200000002</v>
      </c>
      <c r="G12">
        <v>1618.3005200000002</v>
      </c>
    </row>
    <row r="13" spans="1:8" x14ac:dyDescent="0.2">
      <c r="A13" s="5" t="s">
        <v>11</v>
      </c>
      <c r="B13" s="4">
        <v>2</v>
      </c>
      <c r="C13" t="s">
        <v>5</v>
      </c>
      <c r="D13" t="s">
        <v>12</v>
      </c>
      <c r="E13">
        <f t="shared" si="0"/>
        <v>-69.51355999999987</v>
      </c>
      <c r="F13">
        <v>1308.45084</v>
      </c>
      <c r="G13">
        <v>1308.45084</v>
      </c>
    </row>
    <row r="14" spans="1:8" x14ac:dyDescent="0.2">
      <c r="A14" s="5" t="s">
        <v>17</v>
      </c>
      <c r="B14" s="4">
        <v>3</v>
      </c>
      <c r="C14" t="s">
        <v>4</v>
      </c>
      <c r="D14" t="s">
        <v>12</v>
      </c>
      <c r="E14">
        <f t="shared" si="0"/>
        <v>-201.05939999999987</v>
      </c>
      <c r="F14">
        <v>1436.2560400000002</v>
      </c>
      <c r="G14">
        <v>1436.2560400000002</v>
      </c>
    </row>
    <row r="15" spans="1:8" x14ac:dyDescent="0.2">
      <c r="A15" s="5" t="s">
        <v>7</v>
      </c>
      <c r="B15" s="4">
        <v>3</v>
      </c>
      <c r="C15" t="s">
        <v>4</v>
      </c>
      <c r="D15" t="s">
        <v>12</v>
      </c>
      <c r="E15">
        <f t="shared" si="0"/>
        <v>-150.87248</v>
      </c>
      <c r="F15">
        <v>1399.4730800000002</v>
      </c>
      <c r="G15">
        <v>1399.4730800000002</v>
      </c>
    </row>
    <row r="16" spans="1:8" x14ac:dyDescent="0.2">
      <c r="A16" s="5" t="s">
        <v>8</v>
      </c>
      <c r="B16" s="4">
        <v>3</v>
      </c>
      <c r="C16" t="s">
        <v>4</v>
      </c>
      <c r="D16" t="s">
        <v>12</v>
      </c>
      <c r="E16">
        <f t="shared" si="0"/>
        <v>-260.90964000000031</v>
      </c>
      <c r="F16">
        <v>1517.9266800000005</v>
      </c>
      <c r="G16">
        <v>1517.9266800000005</v>
      </c>
    </row>
    <row r="17" spans="1:7" x14ac:dyDescent="0.2">
      <c r="A17" s="5" t="s">
        <v>9</v>
      </c>
      <c r="B17" s="4">
        <v>3</v>
      </c>
      <c r="C17" t="s">
        <v>5</v>
      </c>
      <c r="D17" t="s">
        <v>12</v>
      </c>
      <c r="E17">
        <f t="shared" si="0"/>
        <v>-176.74524000000019</v>
      </c>
      <c r="F17">
        <v>1463.6874000000003</v>
      </c>
      <c r="G17">
        <v>1463.6874000000003</v>
      </c>
    </row>
    <row r="18" spans="1:7" x14ac:dyDescent="0.2">
      <c r="A18" s="5" t="s">
        <v>10</v>
      </c>
      <c r="B18" s="4">
        <v>3</v>
      </c>
      <c r="C18" t="s">
        <v>5</v>
      </c>
      <c r="D18" t="s">
        <v>12</v>
      </c>
      <c r="E18">
        <f t="shared" si="0"/>
        <v>211.0344399999999</v>
      </c>
      <c r="F18">
        <v>1407.2660800000003</v>
      </c>
      <c r="G18">
        <v>1407.2660800000003</v>
      </c>
    </row>
    <row r="19" spans="1:7" x14ac:dyDescent="0.2">
      <c r="A19" s="5" t="s">
        <v>11</v>
      </c>
      <c r="B19" s="4">
        <v>3</v>
      </c>
      <c r="C19" t="s">
        <v>5</v>
      </c>
      <c r="D19" t="s">
        <v>12</v>
      </c>
      <c r="E19">
        <f t="shared" si="0"/>
        <v>-180.48588000000018</v>
      </c>
      <c r="F19">
        <v>1488.9367200000002</v>
      </c>
      <c r="G19">
        <v>1488.9367200000002</v>
      </c>
    </row>
    <row r="20" spans="1:7" x14ac:dyDescent="0.2">
      <c r="A20" s="5" t="s">
        <v>16</v>
      </c>
      <c r="B20" s="4">
        <v>4</v>
      </c>
      <c r="C20" t="s">
        <v>4</v>
      </c>
      <c r="D20" t="s">
        <v>12</v>
      </c>
      <c r="E20">
        <f t="shared" si="0"/>
        <v>-123.75284000000011</v>
      </c>
      <c r="F20">
        <v>1560.0088800000003</v>
      </c>
      <c r="G20">
        <v>1560.0088800000003</v>
      </c>
    </row>
    <row r="21" spans="1:7" x14ac:dyDescent="0.2">
      <c r="A21" s="5" t="s">
        <v>7</v>
      </c>
      <c r="B21" s="4">
        <v>4</v>
      </c>
      <c r="C21" t="s">
        <v>4</v>
      </c>
      <c r="D21" t="s">
        <v>12</v>
      </c>
      <c r="E21">
        <f t="shared" si="0"/>
        <v>-111.28404</v>
      </c>
      <c r="F21">
        <v>1510.7571200000002</v>
      </c>
      <c r="G21">
        <v>1510.7571200000002</v>
      </c>
    </row>
    <row r="22" spans="1:7" x14ac:dyDescent="0.2">
      <c r="A22" s="5" t="s">
        <v>8</v>
      </c>
      <c r="B22" s="4">
        <v>4</v>
      </c>
      <c r="C22" t="s">
        <v>4</v>
      </c>
      <c r="D22" t="s">
        <v>12</v>
      </c>
      <c r="E22">
        <f t="shared" si="0"/>
        <v>4.6758000000004358</v>
      </c>
      <c r="F22">
        <v>1513.2508800000001</v>
      </c>
      <c r="G22">
        <v>1513.2508800000001</v>
      </c>
    </row>
    <row r="23" spans="1:7" x14ac:dyDescent="0.2">
      <c r="A23" s="5" t="s">
        <v>9</v>
      </c>
      <c r="B23" s="4">
        <v>4</v>
      </c>
      <c r="C23" t="s">
        <v>5</v>
      </c>
      <c r="D23" t="s">
        <v>12</v>
      </c>
      <c r="E23">
        <f t="shared" si="0"/>
        <v>-78.865159999999833</v>
      </c>
      <c r="F23">
        <v>1542.5525600000001</v>
      </c>
      <c r="G23">
        <v>1542.5525600000001</v>
      </c>
    </row>
    <row r="24" spans="1:7" x14ac:dyDescent="0.2">
      <c r="A24" s="5" t="s">
        <v>10</v>
      </c>
      <c r="B24" s="4">
        <v>4</v>
      </c>
      <c r="C24" t="s">
        <v>5</v>
      </c>
      <c r="D24" t="s">
        <v>12</v>
      </c>
      <c r="E24">
        <f t="shared" si="0"/>
        <v>-142.45604000000003</v>
      </c>
      <c r="F24">
        <v>1549.7221200000004</v>
      </c>
      <c r="G24">
        <v>1549.7221200000004</v>
      </c>
    </row>
    <row r="25" spans="1:7" x14ac:dyDescent="0.2">
      <c r="A25" s="5" t="s">
        <v>11</v>
      </c>
      <c r="B25" s="4">
        <v>4</v>
      </c>
      <c r="C25" t="s">
        <v>5</v>
      </c>
      <c r="D25" t="s">
        <v>12</v>
      </c>
      <c r="E25">
        <f t="shared" si="0"/>
        <v>-65.46120000000019</v>
      </c>
      <c r="F25">
        <v>1554.3979200000003</v>
      </c>
      <c r="G25">
        <v>1554.3979200000003</v>
      </c>
    </row>
    <row r="26" spans="1:7" x14ac:dyDescent="0.2">
      <c r="A26" s="5" t="s">
        <v>18</v>
      </c>
      <c r="B26" s="4">
        <v>5</v>
      </c>
      <c r="C26" t="s">
        <v>4</v>
      </c>
      <c r="D26" t="s">
        <v>12</v>
      </c>
      <c r="E26">
        <f t="shared" si="0"/>
        <v>-80.73548000000028</v>
      </c>
      <c r="F26">
        <v>1640.7443600000006</v>
      </c>
      <c r="G26">
        <v>1640.7443600000006</v>
      </c>
    </row>
    <row r="27" spans="1:7" x14ac:dyDescent="0.2">
      <c r="A27" s="5" t="s">
        <v>7</v>
      </c>
      <c r="B27" s="4">
        <v>5</v>
      </c>
      <c r="C27" t="s">
        <v>4</v>
      </c>
      <c r="D27" t="s">
        <v>12</v>
      </c>
      <c r="E27">
        <f t="shared" si="0"/>
        <v>-1.5585999999998421</v>
      </c>
      <c r="F27">
        <v>1512.3157200000001</v>
      </c>
      <c r="G27">
        <v>1512.3157200000001</v>
      </c>
    </row>
    <row r="28" spans="1:7" x14ac:dyDescent="0.2">
      <c r="A28" s="5" t="s">
        <v>8</v>
      </c>
      <c r="B28" s="4">
        <v>5</v>
      </c>
      <c r="C28" t="s">
        <v>4</v>
      </c>
      <c r="D28" t="s">
        <v>12</v>
      </c>
      <c r="E28">
        <f t="shared" si="0"/>
        <v>-88.840200000000095</v>
      </c>
      <c r="F28">
        <v>1602.0910800000001</v>
      </c>
      <c r="G28">
        <v>1602.0910800000001</v>
      </c>
    </row>
    <row r="29" spans="1:7" x14ac:dyDescent="0.2">
      <c r="A29" s="5" t="s">
        <v>9</v>
      </c>
      <c r="B29" s="4">
        <v>5</v>
      </c>
      <c r="C29" t="s">
        <v>5</v>
      </c>
      <c r="D29" t="s">
        <v>12</v>
      </c>
      <c r="E29">
        <f t="shared" si="0"/>
        <v>-38.965000000000146</v>
      </c>
      <c r="F29">
        <v>1581.5175600000002</v>
      </c>
      <c r="G29">
        <v>1581.5175600000002</v>
      </c>
    </row>
    <row r="30" spans="1:7" x14ac:dyDescent="0.2">
      <c r="A30" s="5" t="s">
        <v>10</v>
      </c>
      <c r="B30" s="4">
        <v>5</v>
      </c>
      <c r="C30" t="s">
        <v>5</v>
      </c>
      <c r="D30" t="s">
        <v>12</v>
      </c>
      <c r="E30">
        <f t="shared" si="0"/>
        <v>-80.112039999999979</v>
      </c>
      <c r="F30">
        <v>1629.8341600000003</v>
      </c>
      <c r="G30">
        <v>1629.8341600000003</v>
      </c>
    </row>
    <row r="31" spans="1:7" x14ac:dyDescent="0.2">
      <c r="A31" s="5" t="s">
        <v>11</v>
      </c>
      <c r="B31" s="4">
        <v>5</v>
      </c>
      <c r="C31" t="s">
        <v>5</v>
      </c>
      <c r="D31" t="s">
        <v>12</v>
      </c>
      <c r="E31">
        <f t="shared" si="0"/>
        <v>-27.743079999999736</v>
      </c>
      <c r="F31">
        <v>1582.1410000000001</v>
      </c>
      <c r="G31">
        <v>1582.1410000000001</v>
      </c>
    </row>
    <row r="32" spans="1:7" x14ac:dyDescent="0.2">
      <c r="A32" t="s">
        <v>19</v>
      </c>
      <c r="B32" s="4">
        <v>6</v>
      </c>
      <c r="C32" t="s">
        <v>4</v>
      </c>
      <c r="D32" t="s">
        <v>12</v>
      </c>
      <c r="E32">
        <f t="shared" si="0"/>
        <v>-97.880079999999452</v>
      </c>
      <c r="F32">
        <v>1738.62444</v>
      </c>
      <c r="G32">
        <v>1738.62444</v>
      </c>
    </row>
    <row r="33" spans="1:7" x14ac:dyDescent="0.2">
      <c r="A33" t="s">
        <v>7</v>
      </c>
      <c r="B33" s="4">
        <v>6</v>
      </c>
      <c r="C33" t="s">
        <v>4</v>
      </c>
      <c r="D33" t="s">
        <v>12</v>
      </c>
      <c r="E33">
        <f t="shared" si="0"/>
        <v>-136.53336000000036</v>
      </c>
      <c r="F33">
        <v>1648.8490800000004</v>
      </c>
      <c r="G33">
        <v>1648.8490800000004</v>
      </c>
    </row>
    <row r="34" spans="1:7" x14ac:dyDescent="0.2">
      <c r="A34" t="s">
        <v>8</v>
      </c>
      <c r="B34" s="4">
        <v>6</v>
      </c>
      <c r="C34" t="s">
        <v>4</v>
      </c>
      <c r="D34" t="s">
        <v>12</v>
      </c>
      <c r="E34">
        <f t="shared" si="0"/>
        <v>-49.563479999999799</v>
      </c>
      <c r="F34">
        <v>1651.6545599999999</v>
      </c>
      <c r="G34">
        <v>1651.6545599999999</v>
      </c>
    </row>
    <row r="35" spans="1:7" x14ac:dyDescent="0.2">
      <c r="A35" t="s">
        <v>9</v>
      </c>
      <c r="B35" s="4">
        <v>6</v>
      </c>
      <c r="C35" t="s">
        <v>5</v>
      </c>
      <c r="D35" t="s">
        <v>12</v>
      </c>
      <c r="E35">
        <f t="shared" si="0"/>
        <v>-76.99483999999984</v>
      </c>
      <c r="F35">
        <v>1658.5124000000001</v>
      </c>
      <c r="G35">
        <v>1658.5124000000001</v>
      </c>
    </row>
    <row r="36" spans="1:7" x14ac:dyDescent="0.2">
      <c r="A36" t="s">
        <v>10</v>
      </c>
      <c r="B36" s="4">
        <v>6</v>
      </c>
      <c r="C36" t="s">
        <v>5</v>
      </c>
      <c r="D36" t="s">
        <v>12</v>
      </c>
      <c r="E36">
        <f t="shared" si="0"/>
        <v>-28.054799999999886</v>
      </c>
      <c r="F36">
        <v>1657.8889600000002</v>
      </c>
      <c r="G36">
        <v>1657.8889600000002</v>
      </c>
    </row>
    <row r="37" spans="1:7" x14ac:dyDescent="0.2">
      <c r="A37" t="s">
        <v>11</v>
      </c>
      <c r="B37" s="4">
        <v>6</v>
      </c>
      <c r="C37" t="s">
        <v>5</v>
      </c>
      <c r="D37" t="s">
        <v>12</v>
      </c>
      <c r="E37">
        <f t="shared" si="0"/>
        <v>-39.900160000000142</v>
      </c>
      <c r="F37">
        <v>1622.0411600000002</v>
      </c>
      <c r="G37">
        <v>1622.0411600000002</v>
      </c>
    </row>
    <row r="38" spans="1:7" x14ac:dyDescent="0.2">
      <c r="A38" t="s">
        <v>20</v>
      </c>
      <c r="B38" s="4">
        <v>9</v>
      </c>
      <c r="C38" t="s">
        <v>4</v>
      </c>
      <c r="D38" t="s">
        <v>12</v>
      </c>
      <c r="E38">
        <f>(G32-G38)/(B38-B32)</f>
        <v>-29.093866666666752</v>
      </c>
      <c r="F38">
        <v>1825.9060400000003</v>
      </c>
      <c r="G38">
        <v>1825.9060400000003</v>
      </c>
    </row>
    <row r="39" spans="1:7" x14ac:dyDescent="0.2">
      <c r="A39" t="s">
        <v>7</v>
      </c>
      <c r="B39" s="4">
        <v>9</v>
      </c>
      <c r="C39" t="s">
        <v>4</v>
      </c>
      <c r="D39" t="s">
        <v>12</v>
      </c>
      <c r="E39">
        <f t="shared" si="0"/>
        <v>-7.2734666666665362</v>
      </c>
      <c r="F39">
        <v>1670.66948</v>
      </c>
      <c r="G39">
        <v>1670.66948</v>
      </c>
    </row>
    <row r="40" spans="1:7" x14ac:dyDescent="0.2">
      <c r="A40" t="s">
        <v>8</v>
      </c>
      <c r="B40" s="4">
        <v>9</v>
      </c>
      <c r="C40" t="s">
        <v>4</v>
      </c>
      <c r="D40" t="s">
        <v>12</v>
      </c>
      <c r="E40">
        <f t="shared" si="0"/>
        <v>-18.183666666666795</v>
      </c>
      <c r="F40">
        <v>1706.2055600000003</v>
      </c>
      <c r="G40">
        <v>1706.2055600000003</v>
      </c>
    </row>
    <row r="41" spans="1:7" x14ac:dyDescent="0.2">
      <c r="A41" t="s">
        <v>9</v>
      </c>
      <c r="B41" s="4">
        <v>9</v>
      </c>
      <c r="C41" t="s">
        <v>5</v>
      </c>
      <c r="D41" t="s">
        <v>12</v>
      </c>
      <c r="E41">
        <f t="shared" si="0"/>
        <v>9.6633199999999615</v>
      </c>
      <c r="F41">
        <v>1629.5224400000002</v>
      </c>
      <c r="G41">
        <v>1629.5224400000002</v>
      </c>
    </row>
    <row r="42" spans="1:7" x14ac:dyDescent="0.2">
      <c r="A42" t="s">
        <v>10</v>
      </c>
      <c r="B42" s="4">
        <v>9</v>
      </c>
      <c r="C42" t="s">
        <v>5</v>
      </c>
      <c r="D42" t="s">
        <v>12</v>
      </c>
      <c r="E42">
        <f t="shared" si="0"/>
        <v>-2.7015733333332719</v>
      </c>
      <c r="F42">
        <v>1665.99368</v>
      </c>
      <c r="G42">
        <v>1665.99368</v>
      </c>
    </row>
    <row r="43" spans="1:7" x14ac:dyDescent="0.2">
      <c r="A43" t="s">
        <v>11</v>
      </c>
      <c r="B43" s="4">
        <v>9</v>
      </c>
      <c r="C43" t="s">
        <v>5</v>
      </c>
      <c r="D43" t="s">
        <v>12</v>
      </c>
      <c r="E43">
        <f t="shared" si="0"/>
        <v>-39.692346666666708</v>
      </c>
      <c r="F43">
        <v>1741.1182000000003</v>
      </c>
      <c r="G43">
        <v>1741.1182000000003</v>
      </c>
    </row>
    <row r="44" spans="1:7" x14ac:dyDescent="0.2">
      <c r="A44" t="s">
        <v>21</v>
      </c>
      <c r="B44" s="4">
        <v>14</v>
      </c>
      <c r="C44" t="s">
        <v>4</v>
      </c>
      <c r="D44" t="s">
        <v>12</v>
      </c>
      <c r="E44">
        <f>(G38-G44)/(B44-B38)</f>
        <v>-4.1770479999999228</v>
      </c>
      <c r="F44">
        <v>1846.7912799999999</v>
      </c>
      <c r="G44">
        <v>1846.7912799999999</v>
      </c>
    </row>
    <row r="45" spans="1:7" x14ac:dyDescent="0.2">
      <c r="A45" t="s">
        <v>7</v>
      </c>
      <c r="B45" s="4">
        <v>14</v>
      </c>
      <c r="C45" t="s">
        <v>4</v>
      </c>
      <c r="D45" t="s">
        <v>12</v>
      </c>
      <c r="E45">
        <f t="shared" si="0"/>
        <v>92.331463999999954</v>
      </c>
      <c r="F45">
        <v>1209.0121600000002</v>
      </c>
      <c r="G45">
        <v>1209.0121600000002</v>
      </c>
    </row>
    <row r="46" spans="1:7" x14ac:dyDescent="0.2">
      <c r="A46" t="s">
        <v>8</v>
      </c>
      <c r="B46" s="4">
        <v>14</v>
      </c>
      <c r="C46" t="s">
        <v>4</v>
      </c>
      <c r="D46" t="s">
        <v>12</v>
      </c>
      <c r="E46">
        <f t="shared" si="0"/>
        <v>78.179376000000047</v>
      </c>
      <c r="F46">
        <v>1315.3086800000001</v>
      </c>
      <c r="G46">
        <v>1315.3086800000001</v>
      </c>
    </row>
    <row r="47" spans="1:7" x14ac:dyDescent="0.2">
      <c r="A47" t="s">
        <v>9</v>
      </c>
      <c r="B47" s="4">
        <v>14</v>
      </c>
      <c r="C47" t="s">
        <v>5</v>
      </c>
      <c r="D47" t="s">
        <v>12</v>
      </c>
      <c r="E47">
        <f t="shared" si="0"/>
        <v>-23.753063999999995</v>
      </c>
      <c r="F47">
        <v>1748.2877600000002</v>
      </c>
      <c r="G47">
        <v>1748.2877600000002</v>
      </c>
    </row>
    <row r="48" spans="1:7" x14ac:dyDescent="0.2">
      <c r="A48" t="s">
        <v>10</v>
      </c>
      <c r="B48" s="4">
        <v>14</v>
      </c>
      <c r="C48" t="s">
        <v>5</v>
      </c>
      <c r="D48" t="s">
        <v>12</v>
      </c>
      <c r="E48">
        <f t="shared" si="0"/>
        <v>-6.3590879999999741</v>
      </c>
      <c r="F48">
        <v>1697.7891199999999</v>
      </c>
      <c r="G48">
        <v>1697.7891199999999</v>
      </c>
    </row>
    <row r="49" spans="1:8" x14ac:dyDescent="0.2">
      <c r="A49" t="s">
        <v>11</v>
      </c>
      <c r="B49" s="4">
        <v>14</v>
      </c>
      <c r="C49" t="s">
        <v>5</v>
      </c>
      <c r="D49" t="s">
        <v>12</v>
      </c>
      <c r="E49">
        <f t="shared" si="0"/>
        <v>37.718119999999999</v>
      </c>
      <c r="F49">
        <v>1552.5276000000003</v>
      </c>
      <c r="G49">
        <v>1552.5276000000003</v>
      </c>
    </row>
    <row r="50" spans="1:8" x14ac:dyDescent="0.2">
      <c r="A50" t="s">
        <v>22</v>
      </c>
      <c r="B50" s="4">
        <v>19</v>
      </c>
      <c r="C50" t="s">
        <v>4</v>
      </c>
      <c r="D50" t="s">
        <v>12</v>
      </c>
      <c r="E50">
        <f>(G44-G50)/(B50-B44)</f>
        <v>24.438847999999961</v>
      </c>
      <c r="F50">
        <v>1724.5970400000001</v>
      </c>
      <c r="G50">
        <v>1724.5970400000001</v>
      </c>
      <c r="H50">
        <f>E50</f>
        <v>24.438847999999961</v>
      </c>
    </row>
    <row r="51" spans="1:8" x14ac:dyDescent="0.2">
      <c r="A51" t="s">
        <v>7</v>
      </c>
      <c r="B51" s="4">
        <v>19</v>
      </c>
      <c r="C51" t="s">
        <v>4</v>
      </c>
      <c r="D51" t="s">
        <v>12</v>
      </c>
      <c r="E51">
        <f t="shared" si="0"/>
        <v>-93.515999999999991</v>
      </c>
      <c r="F51">
        <v>1676.5921600000001</v>
      </c>
      <c r="G51">
        <v>1676.5921600000001</v>
      </c>
      <c r="H51">
        <f t="shared" ref="H51:H61" si="1">E51</f>
        <v>-93.515999999999991</v>
      </c>
    </row>
    <row r="52" spans="1:8" x14ac:dyDescent="0.2">
      <c r="A52" t="s">
        <v>8</v>
      </c>
      <c r="B52" s="4">
        <v>19</v>
      </c>
      <c r="C52" t="s">
        <v>4</v>
      </c>
      <c r="D52" t="s">
        <v>12</v>
      </c>
      <c r="E52">
        <f t="shared" si="0"/>
        <v>37.344056000000002</v>
      </c>
      <c r="F52">
        <v>1128.5884000000001</v>
      </c>
      <c r="G52">
        <v>1128.5884000000001</v>
      </c>
      <c r="H52">
        <f t="shared" si="1"/>
        <v>37.344056000000002</v>
      </c>
    </row>
    <row r="53" spans="1:8" x14ac:dyDescent="0.2">
      <c r="A53" t="s">
        <v>9</v>
      </c>
      <c r="B53" s="4">
        <v>19</v>
      </c>
      <c r="C53" t="s">
        <v>5</v>
      </c>
      <c r="D53" t="s">
        <v>12</v>
      </c>
      <c r="E53">
        <f t="shared" si="0"/>
        <v>114.21420799999996</v>
      </c>
      <c r="F53">
        <v>1177.2167200000004</v>
      </c>
      <c r="G53">
        <v>1177.2167200000004</v>
      </c>
      <c r="H53">
        <f t="shared" si="1"/>
        <v>114.21420799999996</v>
      </c>
    </row>
    <row r="54" spans="1:8" x14ac:dyDescent="0.2">
      <c r="A54" t="s">
        <v>10</v>
      </c>
      <c r="B54" s="4">
        <v>19</v>
      </c>
      <c r="C54" t="s">
        <v>5</v>
      </c>
      <c r="D54" t="s">
        <v>12</v>
      </c>
      <c r="E54">
        <f t="shared" si="0"/>
        <v>193.5157759999999</v>
      </c>
      <c r="F54">
        <v>730.21024000000034</v>
      </c>
      <c r="G54">
        <v>730.21024000000034</v>
      </c>
      <c r="H54">
        <f t="shared" si="1"/>
        <v>193.5157759999999</v>
      </c>
    </row>
    <row r="55" spans="1:8" x14ac:dyDescent="0.2">
      <c r="A55" t="s">
        <v>11</v>
      </c>
      <c r="B55" s="4">
        <v>19</v>
      </c>
      <c r="C55" t="s">
        <v>5</v>
      </c>
      <c r="D55" t="s">
        <v>12</v>
      </c>
      <c r="E55">
        <f t="shared" si="0"/>
        <v>147.06949600000002</v>
      </c>
      <c r="F55">
        <v>817.18012000000022</v>
      </c>
      <c r="G55">
        <v>817.18012000000022</v>
      </c>
      <c r="H55">
        <f t="shared" si="1"/>
        <v>147.06949600000002</v>
      </c>
    </row>
    <row r="56" spans="1:8" x14ac:dyDescent="0.2">
      <c r="A56" t="s">
        <v>23</v>
      </c>
      <c r="B56" s="4">
        <v>23</v>
      </c>
      <c r="C56" t="s">
        <v>4</v>
      </c>
      <c r="D56" t="s">
        <v>12</v>
      </c>
      <c r="E56">
        <f>(G50-G56)/(B56-B50)</f>
        <v>244.23261999999994</v>
      </c>
      <c r="F56">
        <v>747.66656000000035</v>
      </c>
      <c r="G56">
        <v>747.66656000000035</v>
      </c>
      <c r="H56">
        <f t="shared" si="1"/>
        <v>244.23261999999994</v>
      </c>
    </row>
    <row r="57" spans="1:8" x14ac:dyDescent="0.2">
      <c r="A57" t="s">
        <v>7</v>
      </c>
      <c r="B57" s="4">
        <v>23</v>
      </c>
      <c r="C57" t="s">
        <v>4</v>
      </c>
      <c r="D57" t="s">
        <v>12</v>
      </c>
      <c r="E57">
        <f t="shared" si="0"/>
        <v>251.63597000000004</v>
      </c>
      <c r="F57">
        <v>670.04827999999998</v>
      </c>
      <c r="G57">
        <v>670.04827999999998</v>
      </c>
      <c r="H57">
        <f t="shared" si="1"/>
        <v>251.63597000000004</v>
      </c>
    </row>
    <row r="58" spans="1:8" x14ac:dyDescent="0.2">
      <c r="A58" t="s">
        <v>8</v>
      </c>
      <c r="B58" s="4">
        <v>23</v>
      </c>
      <c r="C58" t="s">
        <v>4</v>
      </c>
      <c r="D58" t="s">
        <v>12</v>
      </c>
      <c r="E58">
        <f t="shared" si="0"/>
        <v>125.62315999999998</v>
      </c>
      <c r="F58">
        <v>626.09576000000015</v>
      </c>
      <c r="G58">
        <v>626.09576000000015</v>
      </c>
      <c r="H58">
        <f t="shared" si="1"/>
        <v>125.62315999999998</v>
      </c>
    </row>
    <row r="59" spans="1:8" x14ac:dyDescent="0.2">
      <c r="A59" t="s">
        <v>9</v>
      </c>
      <c r="B59" s="4">
        <v>23</v>
      </c>
      <c r="C59" t="s">
        <v>5</v>
      </c>
      <c r="D59" t="s">
        <v>12</v>
      </c>
      <c r="E59">
        <f t="shared" si="0"/>
        <v>318.03233000000006</v>
      </c>
      <c r="F59">
        <v>-94.912599999999884</v>
      </c>
      <c r="G59">
        <v>-94.912599999999884</v>
      </c>
      <c r="H59">
        <f t="shared" si="1"/>
        <v>318.03233000000006</v>
      </c>
    </row>
    <row r="60" spans="1:8" x14ac:dyDescent="0.2">
      <c r="A60" t="s">
        <v>10</v>
      </c>
      <c r="B60" s="4">
        <v>23</v>
      </c>
      <c r="C60" t="s">
        <v>5</v>
      </c>
      <c r="D60" t="s">
        <v>12</v>
      </c>
      <c r="E60">
        <f t="shared" si="0"/>
        <v>206.51450000000008</v>
      </c>
      <c r="F60">
        <v>-95.847759999999994</v>
      </c>
      <c r="G60">
        <v>-95.847759999999994</v>
      </c>
      <c r="H60">
        <f t="shared" si="1"/>
        <v>206.51450000000008</v>
      </c>
    </row>
    <row r="61" spans="1:8" x14ac:dyDescent="0.2">
      <c r="A61" s="5" t="s">
        <v>11</v>
      </c>
      <c r="B61" s="4">
        <v>23</v>
      </c>
      <c r="C61" t="s">
        <v>5</v>
      </c>
      <c r="D61" t="s">
        <v>12</v>
      </c>
      <c r="E61">
        <f t="shared" si="0"/>
        <v>183.21343000000002</v>
      </c>
      <c r="F61">
        <v>84.326400000000149</v>
      </c>
      <c r="G61">
        <v>84.326400000000149</v>
      </c>
      <c r="H61">
        <f t="shared" si="1"/>
        <v>183.21343000000002</v>
      </c>
    </row>
    <row r="62" spans="1:8" x14ac:dyDescent="0.2">
      <c r="A62" s="8" t="s">
        <v>29</v>
      </c>
      <c r="B62" s="1">
        <v>0</v>
      </c>
      <c r="C62" s="1" t="s">
        <v>4</v>
      </c>
      <c r="D62" t="s">
        <v>13</v>
      </c>
      <c r="F62">
        <v>1454.0240800000001</v>
      </c>
      <c r="G62">
        <v>1454.0240800000001</v>
      </c>
    </row>
    <row r="63" spans="1:8" x14ac:dyDescent="0.2">
      <c r="A63" s="8" t="s">
        <v>7</v>
      </c>
      <c r="B63" s="1">
        <v>0</v>
      </c>
      <c r="C63" s="1" t="s">
        <v>4</v>
      </c>
      <c r="D63" t="s">
        <v>13</v>
      </c>
      <c r="F63">
        <v>1407.5778000000005</v>
      </c>
      <c r="G63">
        <v>1407.5778000000005</v>
      </c>
    </row>
    <row r="64" spans="1:8" x14ac:dyDescent="0.2">
      <c r="A64" s="8" t="s">
        <v>8</v>
      </c>
      <c r="B64" s="1">
        <v>0</v>
      </c>
      <c r="C64" s="1" t="s">
        <v>4</v>
      </c>
      <c r="D64" t="s">
        <v>13</v>
      </c>
      <c r="F64">
        <v>1362.3784000000001</v>
      </c>
      <c r="G64">
        <v>1362.3784000000001</v>
      </c>
    </row>
    <row r="65" spans="1:8" x14ac:dyDescent="0.2">
      <c r="A65" s="8" t="s">
        <v>9</v>
      </c>
      <c r="B65" s="1">
        <v>0</v>
      </c>
      <c r="C65" s="1" t="s">
        <v>5</v>
      </c>
      <c r="D65" t="s">
        <v>13</v>
      </c>
      <c r="F65">
        <v>1376.7175200000001</v>
      </c>
      <c r="G65">
        <v>1376.7175200000001</v>
      </c>
    </row>
    <row r="66" spans="1:8" x14ac:dyDescent="0.2">
      <c r="A66" s="8" t="s">
        <v>10</v>
      </c>
      <c r="B66" s="1">
        <v>0</v>
      </c>
      <c r="C66" s="1" t="s">
        <v>5</v>
      </c>
      <c r="D66" t="s">
        <v>13</v>
      </c>
      <c r="F66">
        <v>1495.7945600000003</v>
      </c>
      <c r="G66">
        <v>1495.7945600000003</v>
      </c>
    </row>
    <row r="67" spans="1:8" x14ac:dyDescent="0.2">
      <c r="A67" s="8" t="s">
        <v>11</v>
      </c>
      <c r="B67" s="1">
        <v>0</v>
      </c>
      <c r="C67" s="1" t="s">
        <v>5</v>
      </c>
      <c r="D67" t="s">
        <v>13</v>
      </c>
      <c r="F67">
        <v>1519.4852800000003</v>
      </c>
      <c r="G67">
        <v>1519.4852800000003</v>
      </c>
    </row>
    <row r="68" spans="1:8" x14ac:dyDescent="0.2">
      <c r="A68" s="8" t="s">
        <v>30</v>
      </c>
      <c r="B68" s="6">
        <v>10</v>
      </c>
      <c r="C68" s="1" t="s">
        <v>4</v>
      </c>
      <c r="D68" t="s">
        <v>13</v>
      </c>
      <c r="E68">
        <f>(G62-G68)/(B68-B62)</f>
        <v>13.871540000000005</v>
      </c>
      <c r="F68">
        <v>1315.3086800000001</v>
      </c>
      <c r="G68">
        <v>1315.3086800000001</v>
      </c>
      <c r="H68">
        <f>E68</f>
        <v>13.871540000000005</v>
      </c>
    </row>
    <row r="69" spans="1:8" x14ac:dyDescent="0.2">
      <c r="A69" s="8" t="s">
        <v>7</v>
      </c>
      <c r="B69" s="6">
        <v>10</v>
      </c>
      <c r="C69" s="1" t="s">
        <v>4</v>
      </c>
      <c r="D69" t="s">
        <v>13</v>
      </c>
      <c r="E69">
        <f t="shared" ref="E69:E85" si="2">(G63-G69)/(B69-B63)</f>
        <v>3.4600920000000315</v>
      </c>
      <c r="F69">
        <v>1372.9768800000002</v>
      </c>
      <c r="G69">
        <v>1372.9768800000002</v>
      </c>
      <c r="H69">
        <f t="shared" ref="H69:H109" si="3">E69</f>
        <v>3.4600920000000315</v>
      </c>
    </row>
    <row r="70" spans="1:8" x14ac:dyDescent="0.2">
      <c r="A70" s="8" t="s">
        <v>8</v>
      </c>
      <c r="B70" s="6">
        <v>10</v>
      </c>
      <c r="C70" s="1" t="s">
        <v>4</v>
      </c>
      <c r="D70" t="s">
        <v>13</v>
      </c>
      <c r="E70">
        <f t="shared" si="2"/>
        <v>-0.52992400000002815</v>
      </c>
      <c r="F70">
        <v>1367.6776400000003</v>
      </c>
      <c r="G70">
        <v>1367.6776400000003</v>
      </c>
      <c r="H70">
        <f t="shared" si="3"/>
        <v>-0.52992400000002815</v>
      </c>
    </row>
    <row r="71" spans="1:8" x14ac:dyDescent="0.2">
      <c r="A71" s="8" t="s">
        <v>9</v>
      </c>
      <c r="B71" s="6">
        <v>10</v>
      </c>
      <c r="C71" s="1" t="s">
        <v>5</v>
      </c>
      <c r="D71" t="s">
        <v>13</v>
      </c>
      <c r="E71">
        <f t="shared" si="2"/>
        <v>45.542291999999996</v>
      </c>
      <c r="F71">
        <v>921.29460000000017</v>
      </c>
      <c r="G71">
        <v>921.29460000000017</v>
      </c>
      <c r="H71">
        <f t="shared" si="3"/>
        <v>45.542291999999996</v>
      </c>
    </row>
    <row r="72" spans="1:8" x14ac:dyDescent="0.2">
      <c r="A72" s="8" t="s">
        <v>10</v>
      </c>
      <c r="B72" s="6">
        <v>10</v>
      </c>
      <c r="C72" s="1" t="s">
        <v>5</v>
      </c>
      <c r="D72" t="s">
        <v>13</v>
      </c>
      <c r="E72">
        <f t="shared" si="2"/>
        <v>21.976260000000003</v>
      </c>
      <c r="F72">
        <v>1276.0319600000003</v>
      </c>
      <c r="G72">
        <v>1276.0319600000003</v>
      </c>
      <c r="H72">
        <f t="shared" si="3"/>
        <v>21.976260000000003</v>
      </c>
    </row>
    <row r="73" spans="1:8" x14ac:dyDescent="0.2">
      <c r="A73" s="8" t="s">
        <v>11</v>
      </c>
      <c r="B73" s="6">
        <v>10</v>
      </c>
      <c r="C73" s="1" t="s">
        <v>5</v>
      </c>
      <c r="D73" t="s">
        <v>13</v>
      </c>
      <c r="E73">
        <f t="shared" si="2"/>
        <v>52.400132000000006</v>
      </c>
      <c r="F73">
        <v>995.48396000000025</v>
      </c>
      <c r="G73">
        <v>995.48396000000025</v>
      </c>
      <c r="H73">
        <f t="shared" si="3"/>
        <v>52.400132000000006</v>
      </c>
    </row>
    <row r="74" spans="1:8" x14ac:dyDescent="0.2">
      <c r="A74" s="3" t="s">
        <v>24</v>
      </c>
      <c r="B74" s="6">
        <v>16</v>
      </c>
      <c r="C74" s="1" t="s">
        <v>4</v>
      </c>
      <c r="D74" t="s">
        <v>13</v>
      </c>
      <c r="E74">
        <f>(G68-G74)/(B74-B68)</f>
        <v>8.2605799999999672</v>
      </c>
      <c r="F74">
        <v>1265.7452000000003</v>
      </c>
      <c r="G74">
        <v>1265.7452000000003</v>
      </c>
      <c r="H74">
        <f t="shared" si="3"/>
        <v>8.2605799999999672</v>
      </c>
    </row>
    <row r="75" spans="1:8" x14ac:dyDescent="0.2">
      <c r="A75" s="3" t="s">
        <v>7</v>
      </c>
      <c r="B75" s="6">
        <v>16</v>
      </c>
      <c r="C75" s="1" t="s">
        <v>4</v>
      </c>
      <c r="D75" t="s">
        <v>13</v>
      </c>
      <c r="E75">
        <f t="shared" si="2"/>
        <v>118.92118000000001</v>
      </c>
      <c r="F75">
        <v>659.4498000000001</v>
      </c>
      <c r="G75">
        <v>659.4498000000001</v>
      </c>
      <c r="H75">
        <f t="shared" si="3"/>
        <v>118.92118000000001</v>
      </c>
    </row>
    <row r="76" spans="1:8" x14ac:dyDescent="0.2">
      <c r="A76" s="3" t="s">
        <v>8</v>
      </c>
      <c r="B76" s="6">
        <v>16</v>
      </c>
      <c r="C76" s="1" t="s">
        <v>4</v>
      </c>
      <c r="D76" t="s">
        <v>13</v>
      </c>
      <c r="E76">
        <f t="shared" si="2"/>
        <v>103.12736666666672</v>
      </c>
      <c r="F76">
        <v>748.91344000000004</v>
      </c>
      <c r="G76">
        <v>748.91344000000004</v>
      </c>
      <c r="H76">
        <f t="shared" si="3"/>
        <v>103.12736666666672</v>
      </c>
    </row>
    <row r="77" spans="1:8" x14ac:dyDescent="0.2">
      <c r="A77" s="3" t="s">
        <v>9</v>
      </c>
      <c r="B77" s="6">
        <v>16</v>
      </c>
      <c r="C77" s="1" t="s">
        <v>5</v>
      </c>
      <c r="D77" t="s">
        <v>13</v>
      </c>
      <c r="E77">
        <f t="shared" si="2"/>
        <v>66.44831333333336</v>
      </c>
      <c r="F77">
        <v>522.60472000000004</v>
      </c>
      <c r="G77">
        <v>522.60472000000004</v>
      </c>
      <c r="H77">
        <f t="shared" si="3"/>
        <v>66.44831333333336</v>
      </c>
    </row>
    <row r="78" spans="1:8" x14ac:dyDescent="0.2">
      <c r="A78" s="3" t="s">
        <v>10</v>
      </c>
      <c r="B78" s="6">
        <v>16</v>
      </c>
      <c r="C78" s="1" t="s">
        <v>5</v>
      </c>
      <c r="D78" t="s">
        <v>13</v>
      </c>
      <c r="E78">
        <f t="shared" si="2"/>
        <v>76.21553999999999</v>
      </c>
      <c r="F78">
        <v>818.73872000000028</v>
      </c>
      <c r="G78">
        <v>818.73872000000028</v>
      </c>
      <c r="H78">
        <f t="shared" si="3"/>
        <v>76.21553999999999</v>
      </c>
    </row>
    <row r="79" spans="1:8" x14ac:dyDescent="0.2">
      <c r="A79" s="3" t="s">
        <v>11</v>
      </c>
      <c r="B79" s="6">
        <v>16</v>
      </c>
      <c r="C79" s="1" t="s">
        <v>5</v>
      </c>
      <c r="D79" t="s">
        <v>13</v>
      </c>
      <c r="E79">
        <f t="shared" si="2"/>
        <v>95.594133333333346</v>
      </c>
      <c r="F79">
        <v>421.91916000000015</v>
      </c>
      <c r="G79">
        <v>421.91916000000015</v>
      </c>
      <c r="H79">
        <f t="shared" si="3"/>
        <v>95.594133333333346</v>
      </c>
    </row>
    <row r="80" spans="1:8" x14ac:dyDescent="0.2">
      <c r="A80" s="5" t="s">
        <v>26</v>
      </c>
      <c r="B80" s="6">
        <v>21</v>
      </c>
      <c r="C80" s="1" t="s">
        <v>4</v>
      </c>
      <c r="D80" t="s">
        <v>13</v>
      </c>
      <c r="E80">
        <f>(G74-G80)/(B80-B74)</f>
        <v>7.980032000000028</v>
      </c>
      <c r="F80">
        <v>1225.8450400000002</v>
      </c>
      <c r="G80">
        <v>1225.8450400000002</v>
      </c>
      <c r="H80">
        <f t="shared" si="3"/>
        <v>7.980032000000028</v>
      </c>
    </row>
    <row r="81" spans="1:8" x14ac:dyDescent="0.2">
      <c r="A81" t="s">
        <v>7</v>
      </c>
      <c r="B81" s="6">
        <v>21</v>
      </c>
      <c r="C81" s="1" t="s">
        <v>4</v>
      </c>
      <c r="D81" t="s">
        <v>13</v>
      </c>
      <c r="E81">
        <f t="shared" si="2"/>
        <v>23.940095999999947</v>
      </c>
      <c r="F81">
        <v>539.74932000000035</v>
      </c>
      <c r="G81">
        <v>539.74932000000035</v>
      </c>
      <c r="H81">
        <f t="shared" si="3"/>
        <v>23.940095999999947</v>
      </c>
    </row>
    <row r="82" spans="1:8" x14ac:dyDescent="0.2">
      <c r="A82" t="s">
        <v>8</v>
      </c>
      <c r="B82" s="6">
        <v>21</v>
      </c>
      <c r="C82" s="1" t="s">
        <v>4</v>
      </c>
      <c r="D82" t="s">
        <v>13</v>
      </c>
      <c r="E82">
        <f t="shared" si="2"/>
        <v>59.974927999999956</v>
      </c>
      <c r="F82">
        <v>449.03880000000026</v>
      </c>
      <c r="G82">
        <v>449.03880000000026</v>
      </c>
      <c r="H82">
        <f t="shared" si="3"/>
        <v>59.974927999999956</v>
      </c>
    </row>
    <row r="83" spans="1:8" x14ac:dyDescent="0.2">
      <c r="A83" t="s">
        <v>9</v>
      </c>
      <c r="B83" s="6">
        <v>21</v>
      </c>
      <c r="C83" s="1" t="s">
        <v>5</v>
      </c>
      <c r="D83" t="s">
        <v>13</v>
      </c>
      <c r="E83">
        <f t="shared" si="2"/>
        <v>20.386488000000007</v>
      </c>
      <c r="F83">
        <v>420.67228</v>
      </c>
      <c r="G83">
        <v>420.67228</v>
      </c>
      <c r="H83">
        <f t="shared" si="3"/>
        <v>20.386488000000007</v>
      </c>
    </row>
    <row r="84" spans="1:8" x14ac:dyDescent="0.2">
      <c r="A84" t="s">
        <v>10</v>
      </c>
      <c r="B84" s="6">
        <v>21</v>
      </c>
      <c r="C84" s="1" t="s">
        <v>5</v>
      </c>
      <c r="D84" t="s">
        <v>13</v>
      </c>
      <c r="E84">
        <f t="shared" si="2"/>
        <v>84.164400000000029</v>
      </c>
      <c r="F84">
        <v>397.91672000000017</v>
      </c>
      <c r="G84">
        <v>397.91672000000017</v>
      </c>
      <c r="H84">
        <f t="shared" si="3"/>
        <v>84.164400000000029</v>
      </c>
    </row>
    <row r="85" spans="1:8" x14ac:dyDescent="0.2">
      <c r="A85" t="s">
        <v>11</v>
      </c>
      <c r="B85" s="6">
        <v>21</v>
      </c>
      <c r="C85" s="1" t="s">
        <v>5</v>
      </c>
      <c r="D85" t="s">
        <v>13</v>
      </c>
      <c r="E85">
        <f t="shared" si="2"/>
        <v>67.082144000000014</v>
      </c>
      <c r="F85">
        <v>86.508440000000064</v>
      </c>
      <c r="G85">
        <v>86.508440000000064</v>
      </c>
      <c r="H85">
        <f t="shared" si="3"/>
        <v>67.082144000000014</v>
      </c>
    </row>
    <row r="86" spans="1:8" x14ac:dyDescent="0.2">
      <c r="A86" s="5" t="s">
        <v>31</v>
      </c>
      <c r="B86" s="7">
        <v>22</v>
      </c>
      <c r="C86" s="1" t="s">
        <v>4</v>
      </c>
      <c r="D86" t="s">
        <v>13</v>
      </c>
      <c r="E86">
        <f>(G74-G86)/(B86-B74)</f>
        <v>-8.9359733333333224</v>
      </c>
      <c r="F86">
        <v>1319.3610400000002</v>
      </c>
      <c r="G86">
        <v>1319.3610400000002</v>
      </c>
      <c r="H86">
        <f t="shared" si="3"/>
        <v>-8.9359733333333224</v>
      </c>
    </row>
    <row r="87" spans="1:8" x14ac:dyDescent="0.2">
      <c r="A87" t="s">
        <v>7</v>
      </c>
      <c r="B87" s="1">
        <v>22</v>
      </c>
      <c r="C87" s="1" t="s">
        <v>4</v>
      </c>
      <c r="D87" t="s">
        <v>13</v>
      </c>
      <c r="E87">
        <f t="shared" ref="E87:E91" si="4">(G75-G87)/(B87-B75)</f>
        <v>-6.9097933333333303</v>
      </c>
      <c r="F87">
        <v>700.90856000000008</v>
      </c>
      <c r="G87">
        <v>700.90856000000008</v>
      </c>
      <c r="H87">
        <f t="shared" si="3"/>
        <v>-6.9097933333333303</v>
      </c>
    </row>
    <row r="88" spans="1:8" x14ac:dyDescent="0.2">
      <c r="A88" t="s">
        <v>8</v>
      </c>
      <c r="B88" s="1">
        <v>22</v>
      </c>
      <c r="C88" s="1" t="s">
        <v>4</v>
      </c>
      <c r="D88" t="s">
        <v>13</v>
      </c>
      <c r="E88">
        <f t="shared" si="4"/>
        <v>35.639986666666651</v>
      </c>
      <c r="F88">
        <v>535.07352000000014</v>
      </c>
      <c r="G88">
        <v>535.07352000000014</v>
      </c>
      <c r="H88">
        <f t="shared" si="3"/>
        <v>35.639986666666651</v>
      </c>
    </row>
    <row r="89" spans="1:8" x14ac:dyDescent="0.2">
      <c r="A89" t="s">
        <v>9</v>
      </c>
      <c r="B89" s="1">
        <v>22</v>
      </c>
      <c r="C89" s="1" t="s">
        <v>5</v>
      </c>
      <c r="D89" t="s">
        <v>13</v>
      </c>
      <c r="E89">
        <f t="shared" si="4"/>
        <v>16.988740000000007</v>
      </c>
      <c r="F89">
        <v>420.67228</v>
      </c>
      <c r="G89">
        <v>420.67228</v>
      </c>
      <c r="H89">
        <f t="shared" si="3"/>
        <v>16.988740000000007</v>
      </c>
    </row>
    <row r="90" spans="1:8" x14ac:dyDescent="0.2">
      <c r="A90" t="s">
        <v>10</v>
      </c>
      <c r="B90" s="1">
        <v>22</v>
      </c>
      <c r="C90" s="1" t="s">
        <v>5</v>
      </c>
      <c r="D90" t="s">
        <v>13</v>
      </c>
      <c r="E90">
        <f t="shared" si="4"/>
        <v>61.876420000000017</v>
      </c>
      <c r="F90">
        <v>447.4802000000002</v>
      </c>
      <c r="G90">
        <v>447.4802000000002</v>
      </c>
      <c r="H90">
        <f t="shared" si="3"/>
        <v>61.876420000000017</v>
      </c>
    </row>
    <row r="91" spans="1:8" x14ac:dyDescent="0.2">
      <c r="A91" t="s">
        <v>11</v>
      </c>
      <c r="B91" s="1">
        <v>22</v>
      </c>
      <c r="C91" s="1" t="s">
        <v>5</v>
      </c>
      <c r="D91" t="s">
        <v>13</v>
      </c>
      <c r="E91">
        <f t="shared" si="4"/>
        <v>55.901786666666681</v>
      </c>
      <c r="F91">
        <v>86.508440000000064</v>
      </c>
      <c r="G91">
        <v>86.508440000000064</v>
      </c>
      <c r="H91">
        <f t="shared" si="3"/>
        <v>55.901786666666681</v>
      </c>
    </row>
    <row r="92" spans="1:8" x14ac:dyDescent="0.2">
      <c r="A92" s="5" t="s">
        <v>27</v>
      </c>
      <c r="B92" s="1">
        <v>57</v>
      </c>
      <c r="C92" s="1" t="s">
        <v>4</v>
      </c>
      <c r="D92" t="s">
        <v>13</v>
      </c>
      <c r="G92">
        <v>1788.8113600000001</v>
      </c>
    </row>
    <row r="93" spans="1:8" x14ac:dyDescent="0.2">
      <c r="A93" t="s">
        <v>7</v>
      </c>
      <c r="B93" s="1">
        <v>57</v>
      </c>
      <c r="C93" s="1" t="s">
        <v>4</v>
      </c>
      <c r="D93" t="s">
        <v>13</v>
      </c>
      <c r="G93">
        <v>1124.5360400000002</v>
      </c>
    </row>
    <row r="94" spans="1:8" x14ac:dyDescent="0.2">
      <c r="A94" t="s">
        <v>8</v>
      </c>
      <c r="B94" s="1">
        <v>57</v>
      </c>
      <c r="C94" s="1" t="s">
        <v>4</v>
      </c>
      <c r="D94" t="s">
        <v>13</v>
      </c>
      <c r="G94">
        <v>954.02520000000027</v>
      </c>
    </row>
    <row r="95" spans="1:8" x14ac:dyDescent="0.2">
      <c r="A95" t="s">
        <v>9</v>
      </c>
      <c r="B95" s="1">
        <v>57</v>
      </c>
      <c r="C95" s="1" t="s">
        <v>5</v>
      </c>
      <c r="D95" t="s">
        <v>13</v>
      </c>
      <c r="G95">
        <v>779.77372000000014</v>
      </c>
    </row>
    <row r="96" spans="1:8" x14ac:dyDescent="0.2">
      <c r="A96" t="s">
        <v>10</v>
      </c>
      <c r="B96" s="1">
        <v>57</v>
      </c>
      <c r="C96" s="1" t="s">
        <v>5</v>
      </c>
      <c r="D96" t="s">
        <v>13</v>
      </c>
      <c r="G96">
        <v>875.78348000000005</v>
      </c>
    </row>
    <row r="97" spans="1:8" x14ac:dyDescent="0.2">
      <c r="A97" t="s">
        <v>11</v>
      </c>
      <c r="B97" s="1">
        <v>57</v>
      </c>
      <c r="C97" s="1" t="s">
        <v>5</v>
      </c>
      <c r="D97" t="s">
        <v>13</v>
      </c>
      <c r="G97">
        <v>-98.964959999999905</v>
      </c>
    </row>
    <row r="98" spans="1:8" x14ac:dyDescent="0.2">
      <c r="A98" s="8" t="s">
        <v>32</v>
      </c>
      <c r="B98" s="1">
        <v>0</v>
      </c>
      <c r="C98" s="1" t="s">
        <v>4</v>
      </c>
      <c r="D98" t="s">
        <v>6</v>
      </c>
      <c r="F98">
        <v>1454.0240800000001</v>
      </c>
      <c r="G98">
        <v>1454.0240800000001</v>
      </c>
    </row>
    <row r="99" spans="1:8" x14ac:dyDescent="0.2">
      <c r="A99" s="8" t="s">
        <v>7</v>
      </c>
      <c r="B99" s="1">
        <v>0</v>
      </c>
      <c r="C99" s="1" t="s">
        <v>4</v>
      </c>
      <c r="D99" t="s">
        <v>6</v>
      </c>
      <c r="F99">
        <v>1407.5778000000005</v>
      </c>
      <c r="G99">
        <v>1407.5778000000005</v>
      </c>
    </row>
    <row r="100" spans="1:8" x14ac:dyDescent="0.2">
      <c r="A100" s="8" t="s">
        <v>8</v>
      </c>
      <c r="B100" s="1">
        <v>0</v>
      </c>
      <c r="C100" s="1" t="s">
        <v>4</v>
      </c>
      <c r="D100" t="s">
        <v>6</v>
      </c>
      <c r="F100">
        <v>1362.3784000000001</v>
      </c>
      <c r="G100">
        <v>1362.3784000000001</v>
      </c>
    </row>
    <row r="101" spans="1:8" x14ac:dyDescent="0.2">
      <c r="A101" s="8" t="s">
        <v>9</v>
      </c>
      <c r="B101" s="1">
        <v>0</v>
      </c>
      <c r="C101" s="1" t="s">
        <v>5</v>
      </c>
      <c r="D101" t="s">
        <v>6</v>
      </c>
      <c r="F101">
        <v>1376.7175200000001</v>
      </c>
      <c r="G101">
        <v>1376.7175200000001</v>
      </c>
    </row>
    <row r="102" spans="1:8" x14ac:dyDescent="0.2">
      <c r="A102" s="8" t="s">
        <v>10</v>
      </c>
      <c r="B102" s="1">
        <v>0</v>
      </c>
      <c r="C102" s="1" t="s">
        <v>5</v>
      </c>
      <c r="D102" t="s">
        <v>6</v>
      </c>
      <c r="F102">
        <v>1495.7945600000003</v>
      </c>
      <c r="G102">
        <v>1495.7945600000003</v>
      </c>
    </row>
    <row r="103" spans="1:8" x14ac:dyDescent="0.2">
      <c r="A103" s="8" t="s">
        <v>11</v>
      </c>
      <c r="B103" s="1">
        <v>0</v>
      </c>
      <c r="C103" s="1" t="s">
        <v>5</v>
      </c>
      <c r="D103" t="s">
        <v>6</v>
      </c>
      <c r="F103">
        <v>1519.4852800000003</v>
      </c>
      <c r="G103">
        <v>1519.4852800000003</v>
      </c>
    </row>
    <row r="104" spans="1:8" x14ac:dyDescent="0.2">
      <c r="A104" s="8" t="s">
        <v>32</v>
      </c>
      <c r="B104" s="1">
        <v>14</v>
      </c>
      <c r="C104" s="1" t="s">
        <v>4</v>
      </c>
      <c r="D104" t="s">
        <v>6</v>
      </c>
      <c r="E104">
        <f t="shared" ref="E104:E109" si="5">(G62-G104)/(B104-9)</f>
        <v>138.25223599999998</v>
      </c>
      <c r="F104">
        <v>762.76290000000017</v>
      </c>
      <c r="G104">
        <v>762.76290000000017</v>
      </c>
      <c r="H104">
        <f t="shared" si="3"/>
        <v>138.25223599999998</v>
      </c>
    </row>
    <row r="105" spans="1:8" x14ac:dyDescent="0.2">
      <c r="A105" s="8" t="s">
        <v>7</v>
      </c>
      <c r="B105" s="1">
        <v>14</v>
      </c>
      <c r="C105" s="1" t="s">
        <v>4</v>
      </c>
      <c r="D105" t="s">
        <v>6</v>
      </c>
      <c r="E105">
        <f t="shared" si="5"/>
        <v>121.01411999999998</v>
      </c>
      <c r="F105">
        <v>802.50720000000058</v>
      </c>
      <c r="G105">
        <v>802.50720000000058</v>
      </c>
      <c r="H105">
        <f t="shared" si="3"/>
        <v>121.01411999999998</v>
      </c>
    </row>
    <row r="106" spans="1:8" x14ac:dyDescent="0.2">
      <c r="A106" s="8" t="s">
        <v>8</v>
      </c>
      <c r="B106" s="1">
        <v>14</v>
      </c>
      <c r="C106" s="1" t="s">
        <v>4</v>
      </c>
      <c r="D106" t="s">
        <v>6</v>
      </c>
      <c r="E106">
        <f t="shared" si="5"/>
        <v>46.279249999999955</v>
      </c>
      <c r="F106">
        <v>1130.9821500000003</v>
      </c>
      <c r="G106">
        <v>1130.9821500000003</v>
      </c>
      <c r="H106">
        <f t="shared" si="3"/>
        <v>46.279249999999955</v>
      </c>
    </row>
    <row r="107" spans="1:8" x14ac:dyDescent="0.2">
      <c r="A107" s="8" t="s">
        <v>9</v>
      </c>
      <c r="B107" s="1">
        <v>14</v>
      </c>
      <c r="C107" s="1" t="s">
        <v>5</v>
      </c>
      <c r="D107" t="s">
        <v>6</v>
      </c>
      <c r="E107">
        <f t="shared" si="5"/>
        <v>109.46489399999987</v>
      </c>
      <c r="F107">
        <v>829.39305000000081</v>
      </c>
      <c r="G107">
        <v>829.39305000000081</v>
      </c>
      <c r="H107">
        <f t="shared" si="3"/>
        <v>109.46489399999987</v>
      </c>
    </row>
    <row r="108" spans="1:8" x14ac:dyDescent="0.2">
      <c r="A108" s="8" t="s">
        <v>10</v>
      </c>
      <c r="B108" s="1">
        <v>14</v>
      </c>
      <c r="C108" s="1" t="s">
        <v>5</v>
      </c>
      <c r="D108" t="s">
        <v>6</v>
      </c>
      <c r="E108">
        <f t="shared" si="5"/>
        <v>216.97712199999992</v>
      </c>
      <c r="F108">
        <v>410.90895000000063</v>
      </c>
      <c r="G108">
        <v>410.90895000000063</v>
      </c>
      <c r="H108">
        <f t="shared" si="3"/>
        <v>216.97712199999992</v>
      </c>
    </row>
    <row r="109" spans="1:8" x14ac:dyDescent="0.2">
      <c r="A109" s="8" t="s">
        <v>11</v>
      </c>
      <c r="B109" s="1">
        <v>14</v>
      </c>
      <c r="C109" s="1" t="s">
        <v>5</v>
      </c>
      <c r="D109" t="s">
        <v>6</v>
      </c>
      <c r="E109">
        <f t="shared" si="5"/>
        <v>206.05133599999999</v>
      </c>
      <c r="F109">
        <v>489.22860000000048</v>
      </c>
      <c r="G109">
        <v>489.22860000000048</v>
      </c>
      <c r="H109">
        <f t="shared" si="3"/>
        <v>206.05133599999999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gl_co2_stack</vt:lpstr>
      <vt:lpstr>gl_co2</vt:lpstr>
      <vt:lpstr>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2025-02-11T11:06:17Z</dcterms:created>
  <dcterms:modified xsi:type="dcterms:W3CDTF">2025-12-03T05:52:40Z</dcterms:modified>
</cp:coreProperties>
</file>