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"/>
    </mc:Choice>
  </mc:AlternateContent>
  <xr:revisionPtr revIDLastSave="0" documentId="13_ncr:1_{8E63F9EE-3B59-4845-9377-01CF064C61C5}" xr6:coauthVersionLast="47" xr6:coauthVersionMax="47" xr10:uidLastSave="{00000000-0000-0000-0000-000000000000}"/>
  <bookViews>
    <workbookView xWindow="14520" yWindow="1920" windowWidth="14520" windowHeight="14380" xr2:uid="{12AA0E9B-B8EB-4449-BBA8-468A035D4117}"/>
  </bookViews>
  <sheets>
    <sheet name="Sheet1" sheetId="5" r:id="rId1"/>
    <sheet name="NileRed" sheetId="2" r:id="rId2"/>
    <sheet name="ATP" sheetId="1" r:id="rId3"/>
    <sheet name="BCA" sheetId="3" r:id="rId4"/>
    <sheet name="DCW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9" i="5"/>
  <c r="B10" i="5"/>
  <c r="B11" i="5"/>
  <c r="B12" i="5"/>
  <c r="B13" i="5"/>
  <c r="B3" i="5"/>
  <c r="B4" i="5"/>
  <c r="B5" i="5"/>
  <c r="B6" i="5"/>
  <c r="B7" i="5"/>
  <c r="B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</calcChain>
</file>

<file path=xl/sharedStrings.xml><?xml version="1.0" encoding="utf-8"?>
<sst xmlns="http://schemas.openxmlformats.org/spreadsheetml/2006/main" count="226" uniqueCount="36">
  <si>
    <t>Samples</t>
  </si>
  <si>
    <t>Group</t>
  </si>
  <si>
    <t>ATP</t>
  </si>
  <si>
    <r>
      <t>A</t>
    </r>
    <r>
      <rPr>
        <sz val="11"/>
        <color rgb="FF000000"/>
        <rFont val="Calibri"/>
        <family val="2"/>
      </rPr>
      <t>N-D1</t>
    </r>
  </si>
  <si>
    <r>
      <t>A</t>
    </r>
    <r>
      <rPr>
        <sz val="11"/>
        <color rgb="FF000000"/>
        <rFont val="Calibri"/>
        <family val="2"/>
      </rPr>
      <t>N-D2</t>
    </r>
    <r>
      <rPr>
        <sz val="11"/>
        <color theme="1"/>
        <rFont val="Calibri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</si>
  <si>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N-D3</t>
    </r>
    <r>
      <rPr>
        <sz val="11"/>
        <color theme="1"/>
        <rFont val="Calibri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</si>
  <si>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N-I1</t>
    </r>
  </si>
  <si>
    <r>
      <t>A</t>
    </r>
    <r>
      <rPr>
        <sz val="11"/>
        <color rgb="FF000000"/>
        <rFont val="Calibri"/>
        <family val="2"/>
      </rPr>
      <t>N-I2</t>
    </r>
    <r>
      <rPr>
        <sz val="11"/>
        <color theme="1"/>
        <rFont val="Calibri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</si>
  <si>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N-I3</t>
    </r>
    <r>
      <rPr>
        <sz val="11"/>
        <color theme="1"/>
        <rFont val="Calibri"/>
        <family val="2"/>
        <charset val="134"/>
        <scheme val="minor"/>
      </rPr>
      <t/>
    </r>
  </si>
  <si>
    <r>
      <t>N</t>
    </r>
    <r>
      <rPr>
        <sz val="11"/>
        <color rgb="FF000000"/>
        <rFont val="Calibri"/>
        <family val="2"/>
      </rPr>
      <t>H-D1</t>
    </r>
  </si>
  <si>
    <r>
      <t>N</t>
    </r>
    <r>
      <rPr>
        <sz val="11"/>
        <color rgb="FF000000"/>
        <rFont val="Calibri"/>
        <family val="2"/>
      </rPr>
      <t>H-D2</t>
    </r>
    <r>
      <rPr>
        <sz val="11"/>
        <color theme="1"/>
        <rFont val="Calibri"/>
        <family val="2"/>
        <charset val="134"/>
        <scheme val="minor"/>
      </rPr>
      <t/>
    </r>
  </si>
  <si>
    <r>
      <t>N</t>
    </r>
    <r>
      <rPr>
        <sz val="11"/>
        <color rgb="FF000000"/>
        <rFont val="Calibri"/>
        <family val="2"/>
      </rPr>
      <t>H-D3</t>
    </r>
    <r>
      <rPr>
        <sz val="11"/>
        <color theme="1"/>
        <rFont val="Calibri"/>
        <family val="2"/>
        <charset val="134"/>
        <scheme val="minor"/>
      </rPr>
      <t/>
    </r>
  </si>
  <si>
    <t>NH-I1</t>
    <phoneticPr fontId="0" type="noConversion"/>
  </si>
  <si>
    <t>NH-I2</t>
  </si>
  <si>
    <t>NH-I3</t>
  </si>
  <si>
    <t>NO-D1</t>
    <phoneticPr fontId="0" type="noConversion"/>
  </si>
  <si>
    <t>NO-D2</t>
  </si>
  <si>
    <t>NO-D3</t>
  </si>
  <si>
    <t>NO-I1</t>
    <phoneticPr fontId="0" type="noConversion"/>
  </si>
  <si>
    <t>NO-I2</t>
  </si>
  <si>
    <t>NO-I3</t>
  </si>
  <si>
    <t>Anammox</t>
  </si>
  <si>
    <t>Light</t>
  </si>
  <si>
    <t>Substrate</t>
  </si>
  <si>
    <t>NH4</t>
  </si>
  <si>
    <t>NO2</t>
  </si>
  <si>
    <t>Dark</t>
  </si>
  <si>
    <t>IR</t>
  </si>
  <si>
    <t>Em670</t>
  </si>
  <si>
    <t>Em598</t>
  </si>
  <si>
    <t>Abs562</t>
  </si>
  <si>
    <t>Protein</t>
  </si>
  <si>
    <t>ML</t>
  </si>
  <si>
    <t>NL</t>
  </si>
  <si>
    <t>Intensity</t>
  </si>
  <si>
    <t>Lipid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</si>
</sst>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8624-18CF-184A-BCE0-D6F7E12397F5}">
  <dimension ref="A1:E13"/>
  <sheetViews>
    <sheetView tabSelected="1" workbookViewId="0">
      <selection activeCell="D19" sqref="D19"/>
    </sheetView>
  </sheetViews>
  <sheetFormatPr baseColWidth="10" defaultRowHeight="16" x14ac:dyDescent="0.2"/>
  <cols>
    <col min="2" max="2" width="16.83203125" customWidth="1"/>
  </cols>
  <sheetData>
    <row r="1" spans="1:5" x14ac:dyDescent="0.2">
      <c r="A1" t="s">
        <v>0</v>
      </c>
      <c r="B1" t="s">
        <v>1</v>
      </c>
      <c r="C1" t="s">
        <v>22</v>
      </c>
      <c r="D1" t="s">
        <v>34</v>
      </c>
      <c r="E1" t="s">
        <v>35</v>
      </c>
    </row>
    <row r="2" spans="1:5" x14ac:dyDescent="0.2">
      <c r="A2" s="1" t="s">
        <v>3</v>
      </c>
      <c r="B2" t="str">
        <f>_xlfn.CONCAT(C2,E2)</f>
        <v>DarkML</v>
      </c>
      <c r="C2" t="s">
        <v>26</v>
      </c>
      <c r="D2" s="1">
        <v>45623</v>
      </c>
      <c r="E2" t="s">
        <v>32</v>
      </c>
    </row>
    <row r="3" spans="1:5" x14ac:dyDescent="0.2">
      <c r="A3" s="1" t="s">
        <v>4</v>
      </c>
      <c r="B3" t="str">
        <f t="shared" ref="B3:B13" si="0">_xlfn.CONCAT(C3,E3)</f>
        <v>DarkML</v>
      </c>
      <c r="C3" t="s">
        <v>26</v>
      </c>
      <c r="D3" s="1">
        <v>41275</v>
      </c>
      <c r="E3" t="s">
        <v>32</v>
      </c>
    </row>
    <row r="4" spans="1:5" x14ac:dyDescent="0.2">
      <c r="A4" s="1" t="s">
        <v>5</v>
      </c>
      <c r="B4" t="str">
        <f t="shared" si="0"/>
        <v>DarkML</v>
      </c>
      <c r="C4" t="s">
        <v>26</v>
      </c>
      <c r="D4" s="1">
        <v>41869</v>
      </c>
      <c r="E4" t="s">
        <v>32</v>
      </c>
    </row>
    <row r="5" spans="1:5" x14ac:dyDescent="0.2">
      <c r="A5" s="1" t="s">
        <v>6</v>
      </c>
      <c r="B5" t="str">
        <f t="shared" si="0"/>
        <v>IRML</v>
      </c>
      <c r="C5" t="s">
        <v>27</v>
      </c>
      <c r="D5" s="1">
        <v>49435</v>
      </c>
      <c r="E5" t="s">
        <v>32</v>
      </c>
    </row>
    <row r="6" spans="1:5" x14ac:dyDescent="0.2">
      <c r="A6" s="1" t="s">
        <v>7</v>
      </c>
      <c r="B6" t="str">
        <f t="shared" si="0"/>
        <v>IRML</v>
      </c>
      <c r="C6" t="s">
        <v>27</v>
      </c>
      <c r="D6" s="1">
        <v>49084</v>
      </c>
      <c r="E6" t="s">
        <v>32</v>
      </c>
    </row>
    <row r="7" spans="1:5" x14ac:dyDescent="0.2">
      <c r="A7" s="1" t="s">
        <v>8</v>
      </c>
      <c r="B7" t="str">
        <f t="shared" si="0"/>
        <v>IRML</v>
      </c>
      <c r="C7" t="s">
        <v>27</v>
      </c>
      <c r="D7" s="1">
        <v>49325</v>
      </c>
      <c r="E7" t="s">
        <v>32</v>
      </c>
    </row>
    <row r="8" spans="1:5" x14ac:dyDescent="0.2">
      <c r="A8" s="1" t="s">
        <v>3</v>
      </c>
      <c r="B8" t="str">
        <f>_xlfn.CONCAT(C8,E8)</f>
        <v>DarkNL</v>
      </c>
      <c r="C8" t="s">
        <v>26</v>
      </c>
      <c r="D8" s="1">
        <v>44633</v>
      </c>
      <c r="E8" t="s">
        <v>33</v>
      </c>
    </row>
    <row r="9" spans="1:5" x14ac:dyDescent="0.2">
      <c r="A9" s="1" t="s">
        <v>4</v>
      </c>
      <c r="B9" t="str">
        <f t="shared" si="0"/>
        <v>DarkNL</v>
      </c>
      <c r="C9" t="s">
        <v>26</v>
      </c>
      <c r="D9" s="1">
        <v>43760</v>
      </c>
      <c r="E9" t="s">
        <v>33</v>
      </c>
    </row>
    <row r="10" spans="1:5" x14ac:dyDescent="0.2">
      <c r="A10" s="1" t="s">
        <v>5</v>
      </c>
      <c r="B10" t="str">
        <f t="shared" si="0"/>
        <v>DarkNL</v>
      </c>
      <c r="C10" t="s">
        <v>26</v>
      </c>
      <c r="D10" s="1">
        <v>44957</v>
      </c>
      <c r="E10" t="s">
        <v>33</v>
      </c>
    </row>
    <row r="11" spans="1:5" x14ac:dyDescent="0.2">
      <c r="A11" s="1" t="s">
        <v>6</v>
      </c>
      <c r="B11" t="str">
        <f t="shared" si="0"/>
        <v>IRNL</v>
      </c>
      <c r="C11" t="s">
        <v>27</v>
      </c>
      <c r="D11" s="1">
        <v>52231</v>
      </c>
      <c r="E11" t="s">
        <v>33</v>
      </c>
    </row>
    <row r="12" spans="1:5" x14ac:dyDescent="0.2">
      <c r="A12" s="1" t="s">
        <v>7</v>
      </c>
      <c r="B12" t="str">
        <f t="shared" si="0"/>
        <v>IRNL</v>
      </c>
      <c r="C12" t="s">
        <v>27</v>
      </c>
      <c r="D12" s="1">
        <v>52186</v>
      </c>
      <c r="E12" t="s">
        <v>33</v>
      </c>
    </row>
    <row r="13" spans="1:5" x14ac:dyDescent="0.2">
      <c r="A13" s="1" t="s">
        <v>8</v>
      </c>
      <c r="B13" t="str">
        <f t="shared" si="0"/>
        <v>IRNL</v>
      </c>
      <c r="C13" t="s">
        <v>27</v>
      </c>
      <c r="D13" s="1">
        <v>52010</v>
      </c>
      <c r="E13" t="s">
        <v>33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9E68-93F7-0349-BD00-280014530F95}">
  <dimension ref="A1:F19"/>
  <sheetViews>
    <sheetView workbookViewId="0">
      <selection activeCell="F2" sqref="F2:F7"/>
    </sheetView>
  </sheetViews>
  <sheetFormatPr baseColWidth="10" defaultRowHeight="16" x14ac:dyDescent="0.2"/>
  <sheetData>
    <row r="1" spans="1:6" x14ac:dyDescent="0.2">
      <c r="A1" t="s">
        <v>0</v>
      </c>
      <c r="B1" t="s">
        <v>23</v>
      </c>
      <c r="C1" t="s">
        <v>22</v>
      </c>
      <c r="D1" t="s">
        <v>28</v>
      </c>
      <c r="E1" t="s">
        <v>29</v>
      </c>
      <c r="F1" t="s">
        <v>1</v>
      </c>
    </row>
    <row r="2" spans="1:6" x14ac:dyDescent="0.2">
      <c r="A2" s="1" t="s">
        <v>3</v>
      </c>
      <c r="B2" t="s">
        <v>21</v>
      </c>
      <c r="C2" t="s">
        <v>26</v>
      </c>
      <c r="D2" s="1">
        <v>45623</v>
      </c>
      <c r="E2" s="1">
        <v>44633</v>
      </c>
      <c r="F2" t="str">
        <f>_xlfn.CONCAT(B2,C2)</f>
        <v>AnammoxDark</v>
      </c>
    </row>
    <row r="3" spans="1:6" x14ac:dyDescent="0.2">
      <c r="A3" s="1" t="s">
        <v>4</v>
      </c>
      <c r="B3" t="s">
        <v>21</v>
      </c>
      <c r="C3" t="s">
        <v>26</v>
      </c>
      <c r="D3" s="1">
        <v>41275</v>
      </c>
      <c r="E3" s="1">
        <v>43760</v>
      </c>
      <c r="F3" t="str">
        <f t="shared" ref="F3:F19" si="0">_xlfn.CONCAT(B3,C3)</f>
        <v>AnammoxDark</v>
      </c>
    </row>
    <row r="4" spans="1:6" x14ac:dyDescent="0.2">
      <c r="A4" s="1" t="s">
        <v>5</v>
      </c>
      <c r="B4" t="s">
        <v>21</v>
      </c>
      <c r="C4" t="s">
        <v>26</v>
      </c>
      <c r="D4" s="1">
        <v>41869</v>
      </c>
      <c r="E4" s="1">
        <v>44957</v>
      </c>
      <c r="F4" t="str">
        <f t="shared" si="0"/>
        <v>AnammoxDark</v>
      </c>
    </row>
    <row r="5" spans="1:6" x14ac:dyDescent="0.2">
      <c r="A5" s="1" t="s">
        <v>6</v>
      </c>
      <c r="B5" t="s">
        <v>21</v>
      </c>
      <c r="C5" t="s">
        <v>27</v>
      </c>
      <c r="D5" s="1">
        <v>49435</v>
      </c>
      <c r="E5" s="1">
        <v>52231</v>
      </c>
      <c r="F5" t="str">
        <f t="shared" si="0"/>
        <v>AnammoxIR</v>
      </c>
    </row>
    <row r="6" spans="1:6" x14ac:dyDescent="0.2">
      <c r="A6" s="1" t="s">
        <v>7</v>
      </c>
      <c r="B6" t="s">
        <v>21</v>
      </c>
      <c r="C6" t="s">
        <v>27</v>
      </c>
      <c r="D6" s="1">
        <v>49084</v>
      </c>
      <c r="E6" s="1">
        <v>52186</v>
      </c>
      <c r="F6" t="str">
        <f t="shared" si="0"/>
        <v>AnammoxIR</v>
      </c>
    </row>
    <row r="7" spans="1:6" x14ac:dyDescent="0.2">
      <c r="A7" s="1" t="s">
        <v>8</v>
      </c>
      <c r="B7" t="s">
        <v>21</v>
      </c>
      <c r="C7" t="s">
        <v>27</v>
      </c>
      <c r="D7" s="1">
        <v>49325</v>
      </c>
      <c r="E7" s="1">
        <v>52010</v>
      </c>
      <c r="F7" t="str">
        <f t="shared" si="0"/>
        <v>AnammoxIR</v>
      </c>
    </row>
    <row r="8" spans="1:6" x14ac:dyDescent="0.2">
      <c r="A8" s="1" t="s">
        <v>9</v>
      </c>
      <c r="B8" t="s">
        <v>24</v>
      </c>
      <c r="C8" t="s">
        <v>26</v>
      </c>
      <c r="D8" s="1">
        <v>32228</v>
      </c>
      <c r="E8" s="1">
        <v>17473</v>
      </c>
      <c r="F8" t="str">
        <f t="shared" si="0"/>
        <v>NH4Dark</v>
      </c>
    </row>
    <row r="9" spans="1:6" x14ac:dyDescent="0.2">
      <c r="A9" s="1" t="s">
        <v>10</v>
      </c>
      <c r="B9" t="s">
        <v>24</v>
      </c>
      <c r="C9" t="s">
        <v>26</v>
      </c>
      <c r="D9" s="1">
        <v>30933</v>
      </c>
      <c r="E9" s="1">
        <v>16650</v>
      </c>
      <c r="F9" t="str">
        <f t="shared" si="0"/>
        <v>NH4Dark</v>
      </c>
    </row>
    <row r="10" spans="1:6" x14ac:dyDescent="0.2">
      <c r="A10" s="1" t="s">
        <v>11</v>
      </c>
      <c r="B10" t="s">
        <v>24</v>
      </c>
      <c r="C10" t="s">
        <v>26</v>
      </c>
      <c r="D10" s="1">
        <v>31149</v>
      </c>
      <c r="E10" s="1">
        <v>17417</v>
      </c>
      <c r="F10" t="str">
        <f t="shared" si="0"/>
        <v>NH4Dark</v>
      </c>
    </row>
    <row r="11" spans="1:6" x14ac:dyDescent="0.2">
      <c r="A11" s="1" t="s">
        <v>12</v>
      </c>
      <c r="B11" t="s">
        <v>24</v>
      </c>
      <c r="C11" t="s">
        <v>27</v>
      </c>
      <c r="D11" s="1">
        <v>29395</v>
      </c>
      <c r="E11" s="1">
        <v>17368</v>
      </c>
      <c r="F11" t="str">
        <f t="shared" si="0"/>
        <v>NH4IR</v>
      </c>
    </row>
    <row r="12" spans="1:6" x14ac:dyDescent="0.2">
      <c r="A12" s="1" t="s">
        <v>13</v>
      </c>
      <c r="B12" t="s">
        <v>24</v>
      </c>
      <c r="C12" t="s">
        <v>27</v>
      </c>
      <c r="D12" s="1">
        <v>28620</v>
      </c>
      <c r="E12" s="1">
        <v>16306</v>
      </c>
      <c r="F12" t="str">
        <f t="shared" si="0"/>
        <v>NH4IR</v>
      </c>
    </row>
    <row r="13" spans="1:6" x14ac:dyDescent="0.2">
      <c r="A13" s="1" t="s">
        <v>14</v>
      </c>
      <c r="B13" t="s">
        <v>24</v>
      </c>
      <c r="C13" t="s">
        <v>27</v>
      </c>
      <c r="D13" s="1">
        <v>28382</v>
      </c>
      <c r="E13" s="1">
        <v>17080</v>
      </c>
      <c r="F13" t="str">
        <f t="shared" si="0"/>
        <v>NH4IR</v>
      </c>
    </row>
    <row r="14" spans="1:6" x14ac:dyDescent="0.2">
      <c r="A14" s="1" t="s">
        <v>15</v>
      </c>
      <c r="B14" t="s">
        <v>25</v>
      </c>
      <c r="C14" t="s">
        <v>26</v>
      </c>
      <c r="D14" s="1">
        <v>16852</v>
      </c>
      <c r="E14" s="1">
        <v>8277</v>
      </c>
      <c r="F14" t="str">
        <f t="shared" si="0"/>
        <v>NO2Dark</v>
      </c>
    </row>
    <row r="15" spans="1:6" x14ac:dyDescent="0.2">
      <c r="A15" s="1" t="s">
        <v>16</v>
      </c>
      <c r="B15" t="s">
        <v>25</v>
      </c>
      <c r="C15" t="s">
        <v>26</v>
      </c>
      <c r="D15" s="1">
        <v>18261</v>
      </c>
      <c r="E15" s="1">
        <v>9692</v>
      </c>
      <c r="F15" t="str">
        <f t="shared" si="0"/>
        <v>NO2Dark</v>
      </c>
    </row>
    <row r="16" spans="1:6" x14ac:dyDescent="0.2">
      <c r="A16" s="1" t="s">
        <v>17</v>
      </c>
      <c r="B16" t="s">
        <v>25</v>
      </c>
      <c r="C16" t="s">
        <v>26</v>
      </c>
      <c r="D16" s="1">
        <v>17755</v>
      </c>
      <c r="E16" s="1">
        <v>8066</v>
      </c>
      <c r="F16" t="str">
        <f t="shared" si="0"/>
        <v>NO2Dark</v>
      </c>
    </row>
    <row r="17" spans="1:6" x14ac:dyDescent="0.2">
      <c r="A17" s="1" t="s">
        <v>18</v>
      </c>
      <c r="B17" t="s">
        <v>25</v>
      </c>
      <c r="C17" t="s">
        <v>27</v>
      </c>
      <c r="D17" s="1">
        <v>18727</v>
      </c>
      <c r="E17" s="1">
        <v>9438</v>
      </c>
      <c r="F17" t="str">
        <f t="shared" si="0"/>
        <v>NO2IR</v>
      </c>
    </row>
    <row r="18" spans="1:6" x14ac:dyDescent="0.2">
      <c r="A18" s="1" t="s">
        <v>19</v>
      </c>
      <c r="B18" t="s">
        <v>25</v>
      </c>
      <c r="C18" t="s">
        <v>27</v>
      </c>
      <c r="D18" s="1">
        <v>19935</v>
      </c>
      <c r="E18" s="1">
        <v>9019</v>
      </c>
      <c r="F18" t="str">
        <f t="shared" si="0"/>
        <v>NO2IR</v>
      </c>
    </row>
    <row r="19" spans="1:6" x14ac:dyDescent="0.2">
      <c r="A19" s="1" t="s">
        <v>20</v>
      </c>
      <c r="B19" t="s">
        <v>25</v>
      </c>
      <c r="C19" t="s">
        <v>27</v>
      </c>
      <c r="D19" s="1">
        <v>18947</v>
      </c>
      <c r="E19" s="1">
        <v>9448</v>
      </c>
      <c r="F19" t="str">
        <f t="shared" si="0"/>
        <v>NO2IR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D73-7038-6C42-A2E2-82127FB231E8}">
  <dimension ref="A1:E19"/>
  <sheetViews>
    <sheetView workbookViewId="0">
      <selection activeCell="E15" sqref="E15"/>
    </sheetView>
  </sheetViews>
  <sheetFormatPr baseColWidth="10" defaultRowHeight="16" x14ac:dyDescent="0.2"/>
  <cols>
    <col min="4" max="4" width="12.33203125" customWidth="1"/>
  </cols>
  <sheetData>
    <row r="1" spans="1:5" x14ac:dyDescent="0.2">
      <c r="A1" s="2" t="s">
        <v>0</v>
      </c>
      <c r="B1" s="2" t="s">
        <v>23</v>
      </c>
      <c r="C1" s="2" t="s">
        <v>22</v>
      </c>
      <c r="D1" s="2" t="s">
        <v>2</v>
      </c>
      <c r="E1" s="2" t="s">
        <v>1</v>
      </c>
    </row>
    <row r="2" spans="1:5" x14ac:dyDescent="0.2">
      <c r="A2" s="1" t="s">
        <v>3</v>
      </c>
      <c r="B2" t="s">
        <v>21</v>
      </c>
      <c r="C2" t="s">
        <v>26</v>
      </c>
      <c r="D2">
        <v>9.7999999999999997E-3</v>
      </c>
      <c r="E2" t="str">
        <f>_xlfn.CONCAT(B2,C2)</f>
        <v>AnammoxDark</v>
      </c>
    </row>
    <row r="3" spans="1:5" x14ac:dyDescent="0.2">
      <c r="A3" s="1" t="s">
        <v>4</v>
      </c>
      <c r="B3" t="s">
        <v>21</v>
      </c>
      <c r="C3" t="s">
        <v>26</v>
      </c>
      <c r="D3">
        <v>2.0299999999999995E-2</v>
      </c>
      <c r="E3" t="str">
        <f t="shared" ref="E3:E19" si="0">_xlfn.CONCAT(B3,C3)</f>
        <v>AnammoxDark</v>
      </c>
    </row>
    <row r="4" spans="1:5" x14ac:dyDescent="0.2">
      <c r="A4" s="1" t="s">
        <v>5</v>
      </c>
      <c r="B4" t="s">
        <v>21</v>
      </c>
      <c r="C4" t="s">
        <v>26</v>
      </c>
      <c r="D4">
        <v>2.3099999999999999E-2</v>
      </c>
      <c r="E4" t="str">
        <f t="shared" si="0"/>
        <v>AnammoxDark</v>
      </c>
    </row>
    <row r="5" spans="1:5" x14ac:dyDescent="0.2">
      <c r="A5" s="1" t="s">
        <v>6</v>
      </c>
      <c r="B5" t="s">
        <v>21</v>
      </c>
      <c r="C5" t="s">
        <v>27</v>
      </c>
      <c r="D5">
        <v>2.3799999999999998E-2</v>
      </c>
      <c r="E5" t="str">
        <f t="shared" si="0"/>
        <v>AnammoxIR</v>
      </c>
    </row>
    <row r="6" spans="1:5" x14ac:dyDescent="0.2">
      <c r="A6" s="1" t="s">
        <v>7</v>
      </c>
      <c r="B6" t="s">
        <v>21</v>
      </c>
      <c r="C6" t="s">
        <v>27</v>
      </c>
      <c r="D6">
        <v>1.54E-2</v>
      </c>
      <c r="E6" t="str">
        <f t="shared" si="0"/>
        <v>AnammoxIR</v>
      </c>
    </row>
    <row r="7" spans="1:5" x14ac:dyDescent="0.2">
      <c r="A7" s="1" t="s">
        <v>8</v>
      </c>
      <c r="B7" t="s">
        <v>21</v>
      </c>
      <c r="C7" t="s">
        <v>27</v>
      </c>
      <c r="D7">
        <v>1.4700000000000001E-2</v>
      </c>
      <c r="E7" t="str">
        <f t="shared" si="0"/>
        <v>AnammoxIR</v>
      </c>
    </row>
    <row r="8" spans="1:5" x14ac:dyDescent="0.2">
      <c r="A8" s="1" t="s">
        <v>9</v>
      </c>
      <c r="B8" t="s">
        <v>24</v>
      </c>
      <c r="C8" t="s">
        <v>26</v>
      </c>
      <c r="D8">
        <v>3.5000000000000003E-2</v>
      </c>
      <c r="E8" t="str">
        <f t="shared" si="0"/>
        <v>NH4Dark</v>
      </c>
    </row>
    <row r="9" spans="1:5" x14ac:dyDescent="0.2">
      <c r="A9" s="1" t="s">
        <v>10</v>
      </c>
      <c r="B9" t="s">
        <v>24</v>
      </c>
      <c r="C9" t="s">
        <v>26</v>
      </c>
      <c r="D9">
        <v>3.15E-2</v>
      </c>
      <c r="E9" t="str">
        <f t="shared" si="0"/>
        <v>NH4Dark</v>
      </c>
    </row>
    <row r="10" spans="1:5" x14ac:dyDescent="0.2">
      <c r="A10" s="1" t="s">
        <v>11</v>
      </c>
      <c r="B10" t="s">
        <v>24</v>
      </c>
      <c r="C10" t="s">
        <v>26</v>
      </c>
      <c r="D10">
        <v>1.7499999999999998E-2</v>
      </c>
      <c r="E10" t="str">
        <f t="shared" si="0"/>
        <v>NH4Dark</v>
      </c>
    </row>
    <row r="11" spans="1:5" x14ac:dyDescent="0.2">
      <c r="A11" s="1" t="s">
        <v>12</v>
      </c>
      <c r="B11" t="s">
        <v>24</v>
      </c>
      <c r="C11" t="s">
        <v>27</v>
      </c>
      <c r="D11">
        <v>4.759999999999999E-2</v>
      </c>
      <c r="E11" t="str">
        <f t="shared" si="0"/>
        <v>NH4IR</v>
      </c>
    </row>
    <row r="12" spans="1:5" x14ac:dyDescent="0.2">
      <c r="A12" s="1" t="s">
        <v>13</v>
      </c>
      <c r="B12" t="s">
        <v>24</v>
      </c>
      <c r="C12" t="s">
        <v>27</v>
      </c>
      <c r="D12">
        <v>4.5499999999999999E-2</v>
      </c>
      <c r="E12" t="str">
        <f t="shared" si="0"/>
        <v>NH4IR</v>
      </c>
    </row>
    <row r="13" spans="1:5" x14ac:dyDescent="0.2">
      <c r="A13" s="1" t="s">
        <v>14</v>
      </c>
      <c r="B13" t="s">
        <v>24</v>
      </c>
      <c r="C13" t="s">
        <v>27</v>
      </c>
      <c r="D13">
        <v>5.5999999999999994E-2</v>
      </c>
      <c r="E13" t="str">
        <f t="shared" si="0"/>
        <v>NH4IR</v>
      </c>
    </row>
    <row r="14" spans="1:5" x14ac:dyDescent="0.2">
      <c r="A14" s="1" t="s">
        <v>15</v>
      </c>
      <c r="B14" t="s">
        <v>25</v>
      </c>
      <c r="C14" t="s">
        <v>26</v>
      </c>
      <c r="D14">
        <v>3.5699999999999996E-2</v>
      </c>
      <c r="E14" t="str">
        <f t="shared" si="0"/>
        <v>NO2Dark</v>
      </c>
    </row>
    <row r="15" spans="1:5" x14ac:dyDescent="0.2">
      <c r="A15" s="1" t="s">
        <v>16</v>
      </c>
      <c r="B15" t="s">
        <v>25</v>
      </c>
      <c r="C15" t="s">
        <v>26</v>
      </c>
      <c r="D15">
        <v>2.4499999999999997E-2</v>
      </c>
      <c r="E15" t="str">
        <f t="shared" si="0"/>
        <v>NO2Dark</v>
      </c>
    </row>
    <row r="16" spans="1:5" x14ac:dyDescent="0.2">
      <c r="A16" s="1" t="s">
        <v>17</v>
      </c>
      <c r="B16" t="s">
        <v>25</v>
      </c>
      <c r="C16" t="s">
        <v>26</v>
      </c>
      <c r="D16">
        <v>2.5899999999999996E-2</v>
      </c>
      <c r="E16" t="str">
        <f t="shared" si="0"/>
        <v>NO2Dark</v>
      </c>
    </row>
    <row r="17" spans="1:5" x14ac:dyDescent="0.2">
      <c r="A17" s="1" t="s">
        <v>18</v>
      </c>
      <c r="B17" t="s">
        <v>25</v>
      </c>
      <c r="C17" t="s">
        <v>27</v>
      </c>
      <c r="D17">
        <v>1.61E-2</v>
      </c>
      <c r="E17" t="str">
        <f t="shared" si="0"/>
        <v>NO2IR</v>
      </c>
    </row>
    <row r="18" spans="1:5" x14ac:dyDescent="0.2">
      <c r="A18" s="1" t="s">
        <v>19</v>
      </c>
      <c r="B18" t="s">
        <v>25</v>
      </c>
      <c r="C18" t="s">
        <v>27</v>
      </c>
      <c r="D18">
        <v>2.4499999999999997E-2</v>
      </c>
      <c r="E18" t="str">
        <f t="shared" si="0"/>
        <v>NO2IR</v>
      </c>
    </row>
    <row r="19" spans="1:5" x14ac:dyDescent="0.2">
      <c r="A19" s="1" t="s">
        <v>20</v>
      </c>
      <c r="B19" t="s">
        <v>25</v>
      </c>
      <c r="C19" t="s">
        <v>27</v>
      </c>
      <c r="D19">
        <v>1.6799999999999999E-2</v>
      </c>
      <c r="E19" t="str">
        <f t="shared" si="0"/>
        <v>NO2IR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6A8-BFBE-0140-916D-907932BC6E17}">
  <dimension ref="A1:F19"/>
  <sheetViews>
    <sheetView workbookViewId="0">
      <selection activeCell="C17" sqref="C17"/>
    </sheetView>
  </sheetViews>
  <sheetFormatPr baseColWidth="10" defaultRowHeight="16" x14ac:dyDescent="0.2"/>
  <sheetData>
    <row r="1" spans="1:6" x14ac:dyDescent="0.2">
      <c r="A1" s="2" t="s">
        <v>0</v>
      </c>
      <c r="B1" s="2" t="s">
        <v>23</v>
      </c>
      <c r="C1" s="2" t="s">
        <v>22</v>
      </c>
      <c r="D1" s="2" t="s">
        <v>30</v>
      </c>
      <c r="E1" s="2" t="s">
        <v>31</v>
      </c>
      <c r="F1" s="2" t="s">
        <v>1</v>
      </c>
    </row>
    <row r="2" spans="1:6" x14ac:dyDescent="0.2">
      <c r="A2" s="1" t="s">
        <v>3</v>
      </c>
      <c r="B2" t="s">
        <v>21</v>
      </c>
      <c r="C2" t="s">
        <v>26</v>
      </c>
      <c r="D2">
        <v>0.16070000000000001</v>
      </c>
      <c r="E2">
        <f>35.252*D2-4.5848</f>
        <v>1.0801964000000002</v>
      </c>
      <c r="F2" t="str">
        <f>_xlfn.CONCAT(B2,C2)</f>
        <v>AnammoxDark</v>
      </c>
    </row>
    <row r="3" spans="1:6" x14ac:dyDescent="0.2">
      <c r="A3" s="1" t="s">
        <v>4</v>
      </c>
      <c r="B3" t="s">
        <v>21</v>
      </c>
      <c r="C3" t="s">
        <v>26</v>
      </c>
      <c r="D3">
        <v>0.15720000000000001</v>
      </c>
      <c r="E3">
        <f t="shared" ref="E3:E19" si="0">35.252*D3-4.5848</f>
        <v>0.95681439999999984</v>
      </c>
      <c r="F3" t="str">
        <f t="shared" ref="F3:F19" si="1">_xlfn.CONCAT(B3,C3)</f>
        <v>AnammoxDark</v>
      </c>
    </row>
    <row r="4" spans="1:6" x14ac:dyDescent="0.2">
      <c r="A4" s="1" t="s">
        <v>5</v>
      </c>
      <c r="B4" t="s">
        <v>21</v>
      </c>
      <c r="C4" t="s">
        <v>26</v>
      </c>
      <c r="D4">
        <v>0.15640000000000001</v>
      </c>
      <c r="E4">
        <f t="shared" si="0"/>
        <v>0.92861280000000068</v>
      </c>
      <c r="F4" t="str">
        <f t="shared" si="1"/>
        <v>AnammoxDark</v>
      </c>
    </row>
    <row r="5" spans="1:6" x14ac:dyDescent="0.2">
      <c r="A5" s="1" t="s">
        <v>6</v>
      </c>
      <c r="B5" t="s">
        <v>21</v>
      </c>
      <c r="C5" t="s">
        <v>27</v>
      </c>
      <c r="D5">
        <v>0.15290000000000001</v>
      </c>
      <c r="E5">
        <f t="shared" si="0"/>
        <v>0.80523080000000036</v>
      </c>
      <c r="F5" t="str">
        <f t="shared" si="1"/>
        <v>AnammoxIR</v>
      </c>
    </row>
    <row r="6" spans="1:6" x14ac:dyDescent="0.2">
      <c r="A6" s="1" t="s">
        <v>7</v>
      </c>
      <c r="B6" t="s">
        <v>21</v>
      </c>
      <c r="C6" t="s">
        <v>27</v>
      </c>
      <c r="D6">
        <v>0.16209999999999999</v>
      </c>
      <c r="E6">
        <f t="shared" si="0"/>
        <v>1.1295491999999996</v>
      </c>
      <c r="F6" t="str">
        <f t="shared" si="1"/>
        <v>AnammoxIR</v>
      </c>
    </row>
    <row r="7" spans="1:6" x14ac:dyDescent="0.2">
      <c r="A7" s="1" t="s">
        <v>8</v>
      </c>
      <c r="B7" t="s">
        <v>21</v>
      </c>
      <c r="C7" t="s">
        <v>27</v>
      </c>
      <c r="D7">
        <v>0.16900000000000001</v>
      </c>
      <c r="E7">
        <f t="shared" si="0"/>
        <v>1.3727880000000008</v>
      </c>
      <c r="F7" t="str">
        <f t="shared" si="1"/>
        <v>AnammoxIR</v>
      </c>
    </row>
    <row r="8" spans="1:6" x14ac:dyDescent="0.2">
      <c r="A8" s="1" t="s">
        <v>9</v>
      </c>
      <c r="B8" t="s">
        <v>24</v>
      </c>
      <c r="C8" t="s">
        <v>26</v>
      </c>
      <c r="D8">
        <v>0.2336</v>
      </c>
      <c r="E8">
        <f t="shared" si="0"/>
        <v>3.6500671999999996</v>
      </c>
      <c r="F8" t="str">
        <f t="shared" si="1"/>
        <v>NH4Dark</v>
      </c>
    </row>
    <row r="9" spans="1:6" x14ac:dyDescent="0.2">
      <c r="A9" s="1" t="s">
        <v>10</v>
      </c>
      <c r="B9" t="s">
        <v>24</v>
      </c>
      <c r="C9" t="s">
        <v>26</v>
      </c>
      <c r="D9">
        <v>0.1769</v>
      </c>
      <c r="E9">
        <f t="shared" si="0"/>
        <v>1.6512788</v>
      </c>
      <c r="F9" t="str">
        <f t="shared" si="1"/>
        <v>NH4Dark</v>
      </c>
    </row>
    <row r="10" spans="1:6" x14ac:dyDescent="0.2">
      <c r="A10" s="1" t="s">
        <v>11</v>
      </c>
      <c r="B10" t="s">
        <v>24</v>
      </c>
      <c r="C10" t="s">
        <v>26</v>
      </c>
      <c r="D10">
        <v>0.21079999999999999</v>
      </c>
      <c r="E10">
        <f t="shared" si="0"/>
        <v>2.8463215999999996</v>
      </c>
      <c r="F10" t="str">
        <f t="shared" si="1"/>
        <v>NH4Dark</v>
      </c>
    </row>
    <row r="11" spans="1:6" x14ac:dyDescent="0.2">
      <c r="A11" s="1" t="s">
        <v>12</v>
      </c>
      <c r="B11" t="s">
        <v>24</v>
      </c>
      <c r="C11" t="s">
        <v>27</v>
      </c>
      <c r="D11">
        <v>0.17</v>
      </c>
      <c r="E11">
        <f t="shared" si="0"/>
        <v>1.4080400000000006</v>
      </c>
      <c r="F11" t="str">
        <f t="shared" si="1"/>
        <v>NH4IR</v>
      </c>
    </row>
    <row r="12" spans="1:6" x14ac:dyDescent="0.2">
      <c r="A12" s="1" t="s">
        <v>13</v>
      </c>
      <c r="B12" t="s">
        <v>24</v>
      </c>
      <c r="C12" t="s">
        <v>27</v>
      </c>
      <c r="D12">
        <v>0.1875</v>
      </c>
      <c r="E12">
        <f t="shared" si="0"/>
        <v>2.0249499999999996</v>
      </c>
      <c r="F12" t="str">
        <f t="shared" si="1"/>
        <v>NH4IR</v>
      </c>
    </row>
    <row r="13" spans="1:6" x14ac:dyDescent="0.2">
      <c r="A13" s="1" t="s">
        <v>14</v>
      </c>
      <c r="B13" t="s">
        <v>24</v>
      </c>
      <c r="C13" t="s">
        <v>27</v>
      </c>
      <c r="D13">
        <v>0.16980000000000001</v>
      </c>
      <c r="E13">
        <f t="shared" si="0"/>
        <v>1.4009895999999999</v>
      </c>
      <c r="F13" t="str">
        <f t="shared" si="1"/>
        <v>NH4IR</v>
      </c>
    </row>
    <row r="14" spans="1:6" x14ac:dyDescent="0.2">
      <c r="A14" s="1" t="s">
        <v>15</v>
      </c>
      <c r="B14" t="s">
        <v>25</v>
      </c>
      <c r="C14" t="s">
        <v>26</v>
      </c>
      <c r="D14">
        <v>0.14530000000000001</v>
      </c>
      <c r="E14">
        <f t="shared" si="0"/>
        <v>0.53731560000000034</v>
      </c>
      <c r="F14" t="str">
        <f t="shared" si="1"/>
        <v>NO2Dark</v>
      </c>
    </row>
    <row r="15" spans="1:6" x14ac:dyDescent="0.2">
      <c r="A15" s="1" t="s">
        <v>16</v>
      </c>
      <c r="B15" t="s">
        <v>25</v>
      </c>
      <c r="C15" t="s">
        <v>26</v>
      </c>
      <c r="D15">
        <v>0.1469</v>
      </c>
      <c r="E15">
        <f t="shared" si="0"/>
        <v>0.59371880000000044</v>
      </c>
      <c r="F15" t="str">
        <f t="shared" si="1"/>
        <v>NO2Dark</v>
      </c>
    </row>
    <row r="16" spans="1:6" x14ac:dyDescent="0.2">
      <c r="A16" s="1" t="s">
        <v>17</v>
      </c>
      <c r="B16" t="s">
        <v>25</v>
      </c>
      <c r="C16" t="s">
        <v>26</v>
      </c>
      <c r="D16">
        <v>0.14360000000000001</v>
      </c>
      <c r="E16">
        <f t="shared" si="0"/>
        <v>0.4773871999999999</v>
      </c>
      <c r="F16" t="str">
        <f t="shared" si="1"/>
        <v>NO2Dark</v>
      </c>
    </row>
    <row r="17" spans="1:6" x14ac:dyDescent="0.2">
      <c r="A17" s="1" t="s">
        <v>18</v>
      </c>
      <c r="B17" t="s">
        <v>25</v>
      </c>
      <c r="C17" t="s">
        <v>27</v>
      </c>
      <c r="D17">
        <v>0.14910000000000001</v>
      </c>
      <c r="E17">
        <f t="shared" si="0"/>
        <v>0.6712731999999999</v>
      </c>
      <c r="F17" t="str">
        <f t="shared" si="1"/>
        <v>NO2IR</v>
      </c>
    </row>
    <row r="18" spans="1:6" x14ac:dyDescent="0.2">
      <c r="A18" s="1" t="s">
        <v>19</v>
      </c>
      <c r="B18" t="s">
        <v>25</v>
      </c>
      <c r="C18" t="s">
        <v>27</v>
      </c>
      <c r="D18">
        <v>0.1424</v>
      </c>
      <c r="E18">
        <f t="shared" si="0"/>
        <v>0.43508480000000027</v>
      </c>
      <c r="F18" t="str">
        <f t="shared" si="1"/>
        <v>NO2IR</v>
      </c>
    </row>
    <row r="19" spans="1:6" x14ac:dyDescent="0.2">
      <c r="A19" s="1" t="s">
        <v>20</v>
      </c>
      <c r="B19" t="s">
        <v>25</v>
      </c>
      <c r="C19" t="s">
        <v>27</v>
      </c>
      <c r="D19">
        <v>0.14230000000000001</v>
      </c>
      <c r="E19">
        <f t="shared" si="0"/>
        <v>0.43155959999999993</v>
      </c>
      <c r="F19" t="str">
        <f t="shared" si="1"/>
        <v>NO2IR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D6CE-BE47-7C43-A630-78E245DA6316}">
  <dimension ref="A1:F1"/>
  <sheetViews>
    <sheetView workbookViewId="0">
      <selection activeCell="B12" sqref="B12"/>
    </sheetView>
  </sheetViews>
  <sheetFormatPr baseColWidth="10" defaultRowHeight="16" x14ac:dyDescent="0.2"/>
  <sheetData>
    <row r="1" spans="1:6" x14ac:dyDescent="0.2">
      <c r="A1" s="2" t="s">
        <v>0</v>
      </c>
      <c r="B1" s="2" t="s">
        <v>23</v>
      </c>
      <c r="C1" s="2" t="s">
        <v>22</v>
      </c>
      <c r="D1" s="2" t="s">
        <v>30</v>
      </c>
      <c r="E1" s="2" t="s">
        <v>31</v>
      </c>
      <c r="F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NileRed</vt:lpstr>
      <vt:lpstr>ATP</vt:lpstr>
      <vt:lpstr>BCA</vt:lpstr>
      <vt:lpstr>DCW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2025-06-02T08:46:35Z</dcterms:created>
  <dcterms:modified xsi:type="dcterms:W3CDTF">2025-11-11T11:04:45Z</dcterms:modified>
</cp:coreProperties>
</file>