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ngliao/Documents/GitHub/ModuleMin/data/ex-fig3/"/>
    </mc:Choice>
  </mc:AlternateContent>
  <xr:revisionPtr revIDLastSave="0" documentId="13_ncr:1_{FF00870A-1AB3-704C-81CB-7C3E638D9AB1}" xr6:coauthVersionLast="47" xr6:coauthVersionMax="47" xr10:uidLastSave="{00000000-0000-0000-0000-000000000000}"/>
  <bookViews>
    <workbookView xWindow="3020" yWindow="620" windowWidth="25780" windowHeight="15440" xr2:uid="{00000000-000D-0000-FFFF-FFFF00000000}"/>
  </bookViews>
  <sheets>
    <sheet name="Sheet1" sheetId="1" r:id="rId1"/>
  </sheets>
  <definedNames>
    <definedName name="_xlnm._FilterDatabase" localSheetId="0" hidden="1">Sheet1!$A$1:$AC$130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0" i="1" l="1"/>
  <c r="T130" i="1"/>
  <c r="T129" i="1"/>
  <c r="T128" i="1"/>
  <c r="T127" i="1"/>
  <c r="T126" i="1"/>
  <c r="T125" i="1"/>
  <c r="T124" i="1"/>
  <c r="T123" i="1"/>
  <c r="T122" i="1"/>
  <c r="T121" i="1"/>
  <c r="T120" i="1"/>
  <c r="T119" i="1"/>
  <c r="AA118" i="1"/>
  <c r="T118" i="1"/>
  <c r="AA117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AA101" i="1"/>
  <c r="T101" i="1"/>
  <c r="T100" i="1"/>
  <c r="T99" i="1"/>
  <c r="T98" i="1"/>
  <c r="T97" i="1"/>
  <c r="T96" i="1"/>
  <c r="AA95" i="1"/>
  <c r="T95" i="1"/>
  <c r="AA94" i="1"/>
  <c r="T94" i="1"/>
  <c r="T93" i="1"/>
  <c r="T92" i="1"/>
  <c r="T91" i="1"/>
  <c r="T90" i="1"/>
  <c r="AA89" i="1"/>
  <c r="T89" i="1"/>
  <c r="T88" i="1"/>
  <c r="T87" i="1"/>
  <c r="T86" i="1"/>
  <c r="T85" i="1"/>
  <c r="T84" i="1"/>
  <c r="T83" i="1"/>
  <c r="T82" i="1"/>
  <c r="T81" i="1"/>
  <c r="AA80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AA66" i="1"/>
  <c r="T66" i="1"/>
  <c r="AA65" i="1"/>
  <c r="T65" i="1"/>
  <c r="T64" i="1"/>
  <c r="T63" i="1"/>
  <c r="T62" i="1"/>
  <c r="T61" i="1"/>
  <c r="T60" i="1"/>
  <c r="T59" i="1"/>
  <c r="T58" i="1"/>
  <c r="T57" i="1"/>
  <c r="T56" i="1"/>
  <c r="AA55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<sst xmlns="http://schemas.openxmlformats.org/spreadsheetml/2006/main" count="1577" uniqueCount="557">
  <si>
    <t>MAG</t>
  </si>
  <si>
    <t>taxon</t>
  </si>
  <si>
    <t>Domain</t>
  </si>
  <si>
    <t>Phylum</t>
  </si>
  <si>
    <t>Class</t>
  </si>
  <si>
    <t>Order</t>
  </si>
  <si>
    <t>Family</t>
  </si>
  <si>
    <t>Genus</t>
  </si>
  <si>
    <t>Species</t>
  </si>
  <si>
    <t>Dark1</t>
  </si>
  <si>
    <t>Dark2</t>
  </si>
  <si>
    <t>Dark3</t>
  </si>
  <si>
    <t>IR1</t>
  </si>
  <si>
    <t>IR2</t>
  </si>
  <si>
    <t>IR3</t>
  </si>
  <si>
    <t>Initial</t>
  </si>
  <si>
    <t>Dark</t>
  </si>
  <si>
    <t>IR</t>
  </si>
  <si>
    <t>Sum</t>
  </si>
  <si>
    <t>LogSum</t>
  </si>
  <si>
    <t>Dark2Ini</t>
  </si>
  <si>
    <t>IR2Ini</t>
  </si>
  <si>
    <t>Genus_clean</t>
  </si>
  <si>
    <t>Phylum_clean</t>
  </si>
  <si>
    <t>ASV_count</t>
  </si>
  <si>
    <t>ASV_sum</t>
  </si>
  <si>
    <t>IR_Gene_counts</t>
  </si>
  <si>
    <t>Published_CO2</t>
  </si>
  <si>
    <t>Genus.raw.MAG</t>
  </si>
  <si>
    <t>MAG73</t>
  </si>
  <si>
    <t>d__Bacteria;p__Pseudomonadota;c__Gammaproteobacteria;o__Pseudomonadales;f__Oleiphilaceae;g__Marinobacter;s__Marinobacter shengliensis</t>
  </si>
  <si>
    <t>Bacteria</t>
  </si>
  <si>
    <t>Pseudomonadota</t>
  </si>
  <si>
    <t>Gammaproteobacteria</t>
  </si>
  <si>
    <t>Pseudomonadales</t>
  </si>
  <si>
    <t>Oleiphilaceae</t>
  </si>
  <si>
    <t>Marinobacter</t>
  </si>
  <si>
    <t>Marinobacter shengliensis</t>
  </si>
  <si>
    <t>marinobacter</t>
  </si>
  <si>
    <t>pseudomonadota</t>
  </si>
  <si>
    <t>MAG94</t>
  </si>
  <si>
    <t>d__Bacteria;p__Pseudomonadota;c__Gammaproteobacteria;o__Pseudomonadales;f__Oleiphilaceae;g__Marinobacter;s__Marinobacter litoralis</t>
  </si>
  <si>
    <t>Marinobacter litoralis</t>
  </si>
  <si>
    <t>MAG10</t>
  </si>
  <si>
    <t>d__Bacteria;p__Pseudomonadota;c__Gammaproteobacteria;o__Pseudomonadales;f__Halomonadaceae;g__Halomonas;s__Halomonas alimentaria</t>
  </si>
  <si>
    <t>Halomonadaceae</t>
  </si>
  <si>
    <t>Halomonas</t>
  </si>
  <si>
    <t>Halomonas alimentaria</t>
  </si>
  <si>
    <t>halomonas</t>
  </si>
  <si>
    <t>MAG67</t>
  </si>
  <si>
    <t>d__Bacteria;p__Pseudomonadota;c__Gammaproteobacteria;o__Pseudomonadales;f__Halomonadaceae;g__Halomonas;s__Halomonas alkaliphila</t>
  </si>
  <si>
    <t>Halomonas alkaliphila</t>
  </si>
  <si>
    <t>MAG66</t>
  </si>
  <si>
    <t>d__Bacteria;p__Pseudomonadota;c__Gammaproteobacteria;o__Pseudomonadales;f__Halomonadaceae;g__Halomonas;s__Unclassified</t>
  </si>
  <si>
    <t>Unclassified</t>
  </si>
  <si>
    <t>MAG104</t>
  </si>
  <si>
    <t>d__Bacteria;p__Pseudomonadota;c__Gammaproteobacteria;o__Xanthomonadales;f__Wenzhouxiangellaceae;g__Wenzhouxiangella;s__Wenzhouxiangella sp013285445</t>
  </si>
  <si>
    <t>Xanthomonadales</t>
  </si>
  <si>
    <t>Wenzhouxiangellaceae</t>
  </si>
  <si>
    <t>Wenzhouxiangella</t>
  </si>
  <si>
    <t>Wenzhouxiangella sp013285445</t>
  </si>
  <si>
    <t>wenzhouxiangella</t>
  </si>
  <si>
    <t>MAG5</t>
  </si>
  <si>
    <t>d__Bacteria;p__Pseudomonadota;c__Gammaproteobacteria;o__Xanthomonadales;f__Wenzhouxiangellaceae;g__Wenzhouxiangella;s__Unclassified</t>
  </si>
  <si>
    <t>MAG91</t>
  </si>
  <si>
    <t>d__Bacteria;p__Pseudomonadota;c__Gammaproteobacteria;o__Burkholderiales;f__Nitrosomonadaceae;g__Nitrosomonas;s__Nitrosomonas mobilis</t>
  </si>
  <si>
    <t>Burkholderiales</t>
  </si>
  <si>
    <t>Nitrosomonadaceae</t>
  </si>
  <si>
    <t>Nitrosomonas</t>
  </si>
  <si>
    <t>Nitrosomonas mobilis</t>
  </si>
  <si>
    <t>nitrosomonas</t>
  </si>
  <si>
    <t>MAG16</t>
  </si>
  <si>
    <t>MAG72</t>
  </si>
  <si>
    <t>d__Bacteria;p__Pseudomonadota;c__Gammaproteobacteria;o__Enterobacterales_A;f__Alteromonadaceae;g__Idiomarina;s__Idiomarina abyssalis</t>
  </si>
  <si>
    <t>Enterobacterales_A</t>
  </si>
  <si>
    <t>Alteromonadaceae</t>
  </si>
  <si>
    <t>Idiomarina</t>
  </si>
  <si>
    <t>Idiomarina abyssalis</t>
  </si>
  <si>
    <t>idiomarina</t>
  </si>
  <si>
    <t>MAG99</t>
  </si>
  <si>
    <t>MAG2</t>
  </si>
  <si>
    <t>MAG90</t>
  </si>
  <si>
    <t>d__Bacteria;p__Pseudomonadota;c__Gammaproteobacteria;o__Enterobacterales_A;f__Alteromonadaceae;g__Aliidiomarina;s__Aliidiomarina haloalkalitolerans</t>
  </si>
  <si>
    <t>Aliidiomarina</t>
  </si>
  <si>
    <t>Aliidiomarina haloalkalitolerans</t>
  </si>
  <si>
    <t>aliidiomarina</t>
  </si>
  <si>
    <t>MAG87</t>
  </si>
  <si>
    <t>d__Bacteria;p__Pseudomonadota;c__Gammaproteobacteria;o__Enterobacterales_A;f__Alteromonadaceae;g__Pseudoalteromonas;s__Pseudoalteromonas undina</t>
  </si>
  <si>
    <t>Pseudoalteromonas</t>
  </si>
  <si>
    <t>Pseudoalteromonas undina</t>
  </si>
  <si>
    <t>pseudoalteromonas</t>
  </si>
  <si>
    <t>MAG69</t>
  </si>
  <si>
    <t>d__Bacteria;p__Pseudomonadota;c__Gammaproteobacteria;o__Xanthomonadales;f__Rhodanobacteraceae;g__Rhodanobacter;s__Unclassified</t>
  </si>
  <si>
    <t>Rhodanobacteraceae</t>
  </si>
  <si>
    <t>Rhodanobacter</t>
  </si>
  <si>
    <t>rhodanobacter</t>
  </si>
  <si>
    <t>MAG79</t>
  </si>
  <si>
    <t>d__Bacteria;p__Bacillota;c__Bacilli;o__Bacillales;f__Planococcaceae;g__Planococcus;s__Unclassified</t>
  </si>
  <si>
    <t>Bacillota</t>
  </si>
  <si>
    <t>Bacilli</t>
  </si>
  <si>
    <t>Bacillales</t>
  </si>
  <si>
    <t>Planococcaceae</t>
  </si>
  <si>
    <t>Planococcus</t>
  </si>
  <si>
    <t>planococcus</t>
  </si>
  <si>
    <t>bacillota</t>
  </si>
  <si>
    <t>MAG22</t>
  </si>
  <si>
    <t>d__Bacteria;p__Pseudomonadota;c__Gammaproteobacteria;o__Enterobacterales_A;f__Alteromonadaceae;g__Pseudidiomarina;s__Unclassified</t>
  </si>
  <si>
    <t>Pseudidiomarina</t>
  </si>
  <si>
    <t>pseudidiomarina</t>
  </si>
  <si>
    <t>MAG117</t>
  </si>
  <si>
    <t>d__Bacteria;p__Bacteroidota;c__Bacteroidia;o__Flavobacteriales;f__Flavobacteriaceae;g__Aequorivita;s__Unclassified</t>
  </si>
  <si>
    <t>Bacteroidota</t>
  </si>
  <si>
    <t>Bacteroidia</t>
  </si>
  <si>
    <t>Flavobacteriales</t>
  </si>
  <si>
    <t>Flavobacteriaceae</t>
  </si>
  <si>
    <t>Aequorivita</t>
  </si>
  <si>
    <t>aequorivita</t>
  </si>
  <si>
    <t>bacteroidota</t>
  </si>
  <si>
    <t>MAG54</t>
  </si>
  <si>
    <t>d__Bacteria;p__Pseudomonadota;c__Alphaproteobacteria;o__Rhodobacterales;f__Rhodobacteraceae;g__Roseovarius;s__Unclassified</t>
  </si>
  <si>
    <t>Alphaproteobacteria</t>
  </si>
  <si>
    <t>Rhodobacterales</t>
  </si>
  <si>
    <t>Rhodobacteraceae</t>
  </si>
  <si>
    <t>Roseovarius</t>
  </si>
  <si>
    <t>roseovarius</t>
  </si>
  <si>
    <t>MAG44</t>
  </si>
  <si>
    <t>MAG56</t>
  </si>
  <si>
    <t>d__Bacteria;p__Pseudomonadota;c__Alphaproteobacteria;o__Rhizobiales;f__Rhizobiaceae;g__Nitratireductor;s__Unclassified</t>
  </si>
  <si>
    <t>Rhizobiales</t>
  </si>
  <si>
    <t>Rhizobiaceae</t>
  </si>
  <si>
    <t>Nitratireductor</t>
  </si>
  <si>
    <t>nitratireductor</t>
  </si>
  <si>
    <t>MAG107</t>
  </si>
  <si>
    <t>d__Bacteria;p__Pseudomonadota;c__Alphaproteobacteria;o__Rhizobiales;f__Rhizobiaceae;g__Salaquimonas;s__Unclassified</t>
  </si>
  <si>
    <t>Salaquimonas</t>
  </si>
  <si>
    <t>salaquimonas</t>
  </si>
  <si>
    <t>MAG52</t>
  </si>
  <si>
    <t>d__Bacteria;p__Bacteroidota;c__Bacteroidia;o__Flavobacteriales;f__Flavobacteriaceae;g__Altibacter;s__Altibacter sp019913785</t>
  </si>
  <si>
    <t>Altibacter</t>
  </si>
  <si>
    <t>Altibacter sp019913785</t>
  </si>
  <si>
    <t>altibacter</t>
  </si>
  <si>
    <t>MAG32</t>
  </si>
  <si>
    <t>d__Bacteria;p__Bacteroidota;c__Bacteroidia;o__Flavobacteriales;f__Schleiferiaceae;g__Owenweeksia;s__Unclassified</t>
  </si>
  <si>
    <t>Schleiferiaceae</t>
  </si>
  <si>
    <t>Owenweeksia</t>
  </si>
  <si>
    <t>owenweeksia</t>
  </si>
  <si>
    <t>MAG57</t>
  </si>
  <si>
    <t>d__Bacteria;p__Bacteroidota;c__Bacteroidia;o__Flavobacteriales;f__Vicingaceae;g__Vicingus;s__Unclassified</t>
  </si>
  <si>
    <t>Vicingaceae</t>
  </si>
  <si>
    <t>Vicingus</t>
  </si>
  <si>
    <t>vicingus</t>
  </si>
  <si>
    <t>MAG78</t>
  </si>
  <si>
    <t>d__Bacteria;p__Pseudomonadota;c__Gammaproteobacteria;o__Enterobacterales_A;f__Kangiellaceae;g__Kangiella;s__Unclassified</t>
  </si>
  <si>
    <t>Kangiellaceae</t>
  </si>
  <si>
    <t>Kangiella</t>
  </si>
  <si>
    <t>kangiella</t>
  </si>
  <si>
    <t>MAG8</t>
  </si>
  <si>
    <t>MAG18</t>
  </si>
  <si>
    <t>MAG93</t>
  </si>
  <si>
    <t>d__Bacteria;p__Pseudomonadota;c__Alphaproteobacteria;o__Sphingomonadales;f__Emcibacteraceae;g__Luteithermobacter;s__Unclassified</t>
  </si>
  <si>
    <t>Sphingomonadales</t>
  </si>
  <si>
    <t>Emcibacteraceae</t>
  </si>
  <si>
    <t>Luteithermobacter</t>
  </si>
  <si>
    <t>luteithermobacter</t>
  </si>
  <si>
    <t>MAG75</t>
  </si>
  <si>
    <t>d__Bacteria;p__Pseudomonadota;c__Gammaproteobacteria;o__Enterobacterales_A;f__Alteromonadaceae;g__Cognaticolwellia;s__Cognaticolwellia aestuarii</t>
  </si>
  <si>
    <t>Cognaticolwellia</t>
  </si>
  <si>
    <t>Cognaticolwellia aestuarii</t>
  </si>
  <si>
    <t>cognaticolwellia</t>
  </si>
  <si>
    <t>MAG124</t>
  </si>
  <si>
    <t>MAG119</t>
  </si>
  <si>
    <t>d__Bacteria;p__Bacteroidota;c__Bacteroidia;o__Flavobacteriales;f__Vicingaceae;g__BRH-c54;s__Unclassified</t>
  </si>
  <si>
    <t>brh-c54</t>
  </si>
  <si>
    <t>BRH-c54</t>
  </si>
  <si>
    <t>MAG42</t>
  </si>
  <si>
    <t>MAG64</t>
  </si>
  <si>
    <t>MAG118</t>
  </si>
  <si>
    <t>d__Bacteria;p__Bacteroidota;c__Bacteroidia;o__Flavobacteriales;f__Flavobacteriaceae;g__Xanthomarina;s__Unclassified</t>
  </si>
  <si>
    <t>Xanthomarina</t>
  </si>
  <si>
    <t>xanthomarina</t>
  </si>
  <si>
    <t>MAG14</t>
  </si>
  <si>
    <t>MAG37</t>
  </si>
  <si>
    <t>d__Bacteria;p__Pseudomonadota;c__Alphaproteobacteria;o__Rhodobacterales;f__Rhodobacteraceae;g__Muriiphilus;s__Muriiphilus fusiformis</t>
  </si>
  <si>
    <t>Muriiphilus</t>
  </si>
  <si>
    <t>Muriiphilus fusiformis</t>
  </si>
  <si>
    <t>muriiphilus</t>
  </si>
  <si>
    <t>MAG126</t>
  </si>
  <si>
    <t>d__Bacteria;p__Bacteroidota;c__Bacteroidia;o__Flavobacteriales;f__Vicingaceae;g__BCD18;s__BCD18 sp013112545</t>
  </si>
  <si>
    <t>BCD18</t>
  </si>
  <si>
    <t>BCD18 sp013112545</t>
  </si>
  <si>
    <t>bcd18</t>
  </si>
  <si>
    <t>MAG85</t>
  </si>
  <si>
    <t>d__Bacteria;p__Actinomycetota;c__Acidimicrobiia;o__IMCC26256;f__Unclassified;g__Unclassified;s__Unclassified</t>
  </si>
  <si>
    <t>Actinomycetota</t>
  </si>
  <si>
    <t>Acidimicrobiia</t>
  </si>
  <si>
    <t>IMCC26256</t>
  </si>
  <si>
    <t>unclassified</t>
  </si>
  <si>
    <t>actinomycetota</t>
  </si>
  <si>
    <t>MAG23</t>
  </si>
  <si>
    <t>d__Bacteria;p__Acidobacteriota;c__Thermoanaerobaculia;o__UBA5704;f__JAIOJS01;g__JAIOJS01;s__Unclassified</t>
  </si>
  <si>
    <t>Acidobacteriota</t>
  </si>
  <si>
    <t>Thermoanaerobaculia</t>
  </si>
  <si>
    <t>UBA5704</t>
  </si>
  <si>
    <t>JAIOJS01</t>
  </si>
  <si>
    <t>jaiojs01</t>
  </si>
  <si>
    <t>acidobacteriota</t>
  </si>
  <si>
    <t>MAG53</t>
  </si>
  <si>
    <t>d__Bacteria;p__Pseudomonadota;c__Alphaproteobacteria;o__Rhodobacterales;f__Rhodobacteraceae;g__Unclassified;s__Unclassified</t>
  </si>
  <si>
    <t>MAG97</t>
  </si>
  <si>
    <t>d__Bacteria;p__Bacteroidota;c__Ignavibacteria;o__Ignavibacteriales;f__Melioribacteraceae;g__IGN16;s__IGN16 sp013112585</t>
  </si>
  <si>
    <t>Ignavibacteria</t>
  </si>
  <si>
    <t>Ignavibacteriales</t>
  </si>
  <si>
    <t>Melioribacteraceae</t>
  </si>
  <si>
    <t>IGN16</t>
  </si>
  <si>
    <t>IGN16 sp013112585</t>
  </si>
  <si>
    <t>ign16</t>
  </si>
  <si>
    <t>MAG77</t>
  </si>
  <si>
    <t>d__Bacteria;p__Bacteroidota;c__Ignavibacteria;o__Ignavibacteriales;f__Melioribacteraceae;g__GCA-2746605;s__Unclassified</t>
  </si>
  <si>
    <t>GCA-2746605</t>
  </si>
  <si>
    <t>gca-2746605</t>
  </si>
  <si>
    <t>MAG20</t>
  </si>
  <si>
    <t>d__Bacteria;p__Planctomycetota;c__Phycisphaerae;o__Phycisphaerales;f__UBA1924;g__Unclassified;s__Unclassified</t>
  </si>
  <si>
    <t>Planctomycetota</t>
  </si>
  <si>
    <t>Phycisphaerae</t>
  </si>
  <si>
    <t>Phycisphaerales</t>
  </si>
  <si>
    <t>UBA1924</t>
  </si>
  <si>
    <t>planctomycetota</t>
  </si>
  <si>
    <t>MAG34</t>
  </si>
  <si>
    <t>d__Bacteria;p__Verrucomicrobiota;c__Kiritimatiellia;o__SS1-B-03-39;f__Unclassified;g__Unclassified;s__Unclassified</t>
  </si>
  <si>
    <t>Verrucomicrobiota</t>
  </si>
  <si>
    <t>Kiritimatiellia</t>
  </si>
  <si>
    <t>SS1-B-03-39</t>
  </si>
  <si>
    <t>verrucomicrobiota</t>
  </si>
  <si>
    <t>MAG127</t>
  </si>
  <si>
    <t>d__Bacteria;p__Bacteroidota;c__Bacteroidia;o__UBA10329;f__UBA10329;g__UBA10329;s__Unclassified</t>
  </si>
  <si>
    <t>UBA10329</t>
  </si>
  <si>
    <t>uba10329</t>
  </si>
  <si>
    <t>MAG80</t>
  </si>
  <si>
    <t>d__Bacteria;p__Actinomycetota;c__Acidimicrobiia;o__UBA5794;f__UBA5794;g__UBA5794;s__Unclassified</t>
  </si>
  <si>
    <t>UBA5794</t>
  </si>
  <si>
    <t>uba5794</t>
  </si>
  <si>
    <t>MAG11</t>
  </si>
  <si>
    <t>d__Bacteria;p__Pseudomonadota;c__Alphaproteobacteria;o__Rhodobacterales;f__Rhodobacteraceae;g__UBA5972;s__Unclassified</t>
  </si>
  <si>
    <t>UBA5972</t>
  </si>
  <si>
    <t>uba5972</t>
  </si>
  <si>
    <t>MAG39</t>
  </si>
  <si>
    <t>d__Bacteria;p__Bacteroidota;c__Rhodothermia;o__Balneolales;f__Balneolaceae;g__UBA2664;s__Unclassified</t>
  </si>
  <si>
    <t>Rhodothermia</t>
  </si>
  <si>
    <t>Balneolales</t>
  </si>
  <si>
    <t>Balneolaceae</t>
  </si>
  <si>
    <t>Rhodohalobacter</t>
  </si>
  <si>
    <t>uba2664</t>
  </si>
  <si>
    <t>UBA2664</t>
  </si>
  <si>
    <t>MAG7</t>
  </si>
  <si>
    <t>d__Bacteria;p__Planctomycetota;c__Phycisphaerae;o__Phycisphaerales;f__SM1A02;g__Unclassified;s__Unclassified</t>
  </si>
  <si>
    <t>SM1A02</t>
  </si>
  <si>
    <t>MAG121</t>
  </si>
  <si>
    <t>d__Bacteria;p__Planctomycetota;c__Phycisphaerae;o__Phycisphaerales;f__UBA5793;g__Unclassified;s__Unclassified</t>
  </si>
  <si>
    <t>UBA5793</t>
  </si>
  <si>
    <t>MAG9</t>
  </si>
  <si>
    <t>d__Bacteria;p__Planctomycetota;c__Brocadiia;o__Brocadiales;f__Scalinduaceae;g__SCAELEC01;s__Unclassified</t>
  </si>
  <si>
    <t>Brocadiia</t>
  </si>
  <si>
    <t>Brocadiales</t>
  </si>
  <si>
    <t>Scalinduaceae</t>
  </si>
  <si>
    <t>Candidatus Scalindua</t>
  </si>
  <si>
    <t>SCAELEC01</t>
  </si>
  <si>
    <t>MAG43</t>
  </si>
  <si>
    <t>d__Bacteria;p__Bacteroidota;c__Bacteroidia;o__Flavobacteriales;f__Flavobacteriaceae;g__Pukyongia;s__Unclassified</t>
  </si>
  <si>
    <t>Pukyongia</t>
  </si>
  <si>
    <t>pukyongia</t>
  </si>
  <si>
    <t>MAG26</t>
  </si>
  <si>
    <t>d__Bacteria;p__Chloroflexota;c__Anaerolineae;o__Promineofilales;f__Promineofilaceae;g__GCA-2699125;s__Unclassified</t>
  </si>
  <si>
    <t>Chloroflexota</t>
  </si>
  <si>
    <t>Anaerolineae</t>
  </si>
  <si>
    <t>Promineofilales</t>
  </si>
  <si>
    <t>Promineofilaceae</t>
  </si>
  <si>
    <t>c_Anaerolinea_g_GCA-2699125</t>
  </si>
  <si>
    <t>gca-2699125</t>
  </si>
  <si>
    <t>chloroflexota</t>
  </si>
  <si>
    <t>GCA-2699125</t>
  </si>
  <si>
    <t>MAG59</t>
  </si>
  <si>
    <t>d__Bacteria;p__Pseudomonadota;c__Alphaproteobacteria;o__Rhodobacterales;f__Rhodobacteraceae;g__JAGRMG01;s__JAGRMG01 sp020441385</t>
  </si>
  <si>
    <t>JAGRMG01</t>
  </si>
  <si>
    <t>JAGRMG01 sp020441385</t>
  </si>
  <si>
    <t>jagrmg01</t>
  </si>
  <si>
    <t>MAG103</t>
  </si>
  <si>
    <t>d__Bacteria;p__Pseudomonadota;c__Gammaproteobacteria;o__Xanthomonadales;f__Marinicellaceae;g__Marinicella;s__Marinicella sp008501575</t>
  </si>
  <si>
    <t>Marinicellaceae</t>
  </si>
  <si>
    <t>Marinicella</t>
  </si>
  <si>
    <t>Marinicella sp008501575</t>
  </si>
  <si>
    <t>marinicella</t>
  </si>
  <si>
    <t>MAG30</t>
  </si>
  <si>
    <t>d__Bacteria;p__Pseudomonadota;c__Alphaproteobacteria;o__UBA7879;f__VGCX01;g__CAJXSI01;s__CAJXSI01 sp913061155</t>
  </si>
  <si>
    <t>UBA7879</t>
  </si>
  <si>
    <t>VGCX01</t>
  </si>
  <si>
    <t>CAJXSI01</t>
  </si>
  <si>
    <t>CAJXSI01 sp913061155</t>
  </si>
  <si>
    <t>cajxsi01</t>
  </si>
  <si>
    <t>MAG38</t>
  </si>
  <si>
    <t>MAG36</t>
  </si>
  <si>
    <t>d__Bacteria;p__Bacteroidota;c__Bacteroidia;o__Chitinophagales;f__Saprospiraceae;g__Membranicola;s__Unclassified</t>
  </si>
  <si>
    <t>Chitinophagales</t>
  </si>
  <si>
    <t>Saprospiraceae</t>
  </si>
  <si>
    <t>Membranicola</t>
  </si>
  <si>
    <t>membranicola</t>
  </si>
  <si>
    <t>MAG46</t>
  </si>
  <si>
    <t>d__Bacteria;p__Myxococcota;c__Bradymonadia;o__REDH01;f__REDH01;g__JACKDJ01;s__Unclassified</t>
  </si>
  <si>
    <t>Myxococcota</t>
  </si>
  <si>
    <t>Bradymonadia</t>
  </si>
  <si>
    <t>REDH01</t>
  </si>
  <si>
    <t>JACKDJ01</t>
  </si>
  <si>
    <t>jackdj01</t>
  </si>
  <si>
    <t>myxococcota</t>
  </si>
  <si>
    <t>MAG76</t>
  </si>
  <si>
    <t>d__Bacteria;p__Actinomycetota;c__Acidimicrobiia;o__Acidimicrobiales;f__Microtrichaceae;g__JAMLGJ01;s__Unclassified</t>
  </si>
  <si>
    <t>Acidimicrobiales</t>
  </si>
  <si>
    <t>Microtrichaceae</t>
  </si>
  <si>
    <t>JAMLGJ01</t>
  </si>
  <si>
    <t>jamlgj01</t>
  </si>
  <si>
    <t>MAG115</t>
  </si>
  <si>
    <t>d__Bacteria;p__Bdellovibrionota;c__Bacteriovoracia;o__Bacteriovoracales;f__Bacteriovoracaceae;g__GCA-2712005;s__Unclassified</t>
  </si>
  <si>
    <t>Bdellovibrionota</t>
  </si>
  <si>
    <t>Bacteriovoracia</t>
  </si>
  <si>
    <t>Bacteriovoracales</t>
  </si>
  <si>
    <t>Bacteriovoracaceae</t>
  </si>
  <si>
    <t>GCA-2712005</t>
  </si>
  <si>
    <t>gca-2712005</t>
  </si>
  <si>
    <t>bdellovibrionota</t>
  </si>
  <si>
    <t>MAG62</t>
  </si>
  <si>
    <t>d__Bacteria;p__Pseudomonadota;c__Gammaproteobacteria;o__Xanthomonadales;f__Marinicellaceae;g__Marinicella;s__Unclassified</t>
  </si>
  <si>
    <t>MAG111</t>
  </si>
  <si>
    <t>d__Bacteria;p__Chloroflexota;c__Anaerolineae;o__Aggregatilineales;f__Phototrophicaceae;g__Unclassified;s__Unclassified</t>
  </si>
  <si>
    <t>Aggregatilineales</t>
  </si>
  <si>
    <t>Phototrophicaceae</t>
  </si>
  <si>
    <t>c_Anaerolinea_g_Unclassified</t>
  </si>
  <si>
    <t>MAG3</t>
  </si>
  <si>
    <t>d__Bacteria;p__Chloroflexota;c__Anaerolineae;o__Aggregatilineales;f__Aggregatilineaceae;g__JAFGJA01;s__Unclassified</t>
  </si>
  <si>
    <t>Aggregatilineaceae</t>
  </si>
  <si>
    <t>c_Anaerolinea_g_JAFGJA01</t>
  </si>
  <si>
    <t>jafgja01</t>
  </si>
  <si>
    <t>JAFGJA01</t>
  </si>
  <si>
    <t>MAG13</t>
  </si>
  <si>
    <t>d__Bacteria;p__Pseudomonadota;c__Alphaproteobacteria;o__Rhodobacterales;f__Rhodobacteraceae;g__JAKGBX01;s__Unclassified</t>
  </si>
  <si>
    <t>JAKGBX01</t>
  </si>
  <si>
    <t>jakgbx01</t>
  </si>
  <si>
    <t>MAG17</t>
  </si>
  <si>
    <t>d__Bacteria;p__Actinomycetota;c__Acidimicrobiia;o__UBA5794;f__UBA5794;g__UBA5794;s__UBA5794 sp008501565</t>
  </si>
  <si>
    <t>UBA5794 sp008501565</t>
  </si>
  <si>
    <t>MAG1</t>
  </si>
  <si>
    <t>d__Bacteria;p__Zixibacteria;c__MSB-5A5;o__GN15;f__FEB-12;g__QQUK01;s__Unclassified</t>
  </si>
  <si>
    <t>Zixibacteria</t>
  </si>
  <si>
    <t>MSB-5A5</t>
  </si>
  <si>
    <t>GN15</t>
  </si>
  <si>
    <t>FEB-12</t>
  </si>
  <si>
    <t>QQUK01</t>
  </si>
  <si>
    <t>qquk01</t>
  </si>
  <si>
    <t>zixibacteria</t>
  </si>
  <si>
    <t>MAG81</t>
  </si>
  <si>
    <t>d__Bacteria;p__Myxococcota;c__Polyangia;o__Polyangiales;f__Polyangiaceae;g__Unclassified;s__Unclassified</t>
  </si>
  <si>
    <t>Polyangia</t>
  </si>
  <si>
    <t>Polyangiales</t>
  </si>
  <si>
    <t>Polyangiaceae</t>
  </si>
  <si>
    <t>MAG83</t>
  </si>
  <si>
    <t>d__Bacteria;p__Planctomycetota;c__Phycisphaerae;o__Phycisphaerales;f__Phycisphaeraceae;g__Unclassified;s__Unclassified</t>
  </si>
  <si>
    <t>Phycisphaeraceae</t>
  </si>
  <si>
    <t>MAG129</t>
  </si>
  <si>
    <t>MAG114</t>
  </si>
  <si>
    <t>MAG101</t>
  </si>
  <si>
    <t>d__Bacteria;p__J088;c__J088;o__J088;f__J088;g__Unclassified;s__Unclassified</t>
  </si>
  <si>
    <t>J088</t>
  </si>
  <si>
    <t>j088</t>
  </si>
  <si>
    <t>MAG106</t>
  </si>
  <si>
    <t>MAG92</t>
  </si>
  <si>
    <t>d__Bacteria;p__Pseudomonadota;c__Gammaproteobacteria;o__QQUJ01;f__QQUJ01;g__QQUJ01;s__QQUJ01 sp008501635</t>
  </si>
  <si>
    <t>QQUJ01</t>
  </si>
  <si>
    <t>QQUJ01 sp008501635</t>
  </si>
  <si>
    <t>qquj01</t>
  </si>
  <si>
    <t>MAG74</t>
  </si>
  <si>
    <t>d__Bacteria;p__Bacteroidota;c__Bacteroidia;o__UBA10329;f__UBA10329;g__Unclassified;s__Unclassified</t>
  </si>
  <si>
    <t>MAG98</t>
  </si>
  <si>
    <t>d__Bacteria;p__Gemmatimonadota;c__Gemmatimonadetes;o__Longimicrobiales;f__UBA6960;g__IDS-52;s__Unclassified</t>
  </si>
  <si>
    <t>Gemmatimonadota</t>
  </si>
  <si>
    <t>Gemmatimonadetes</t>
  </si>
  <si>
    <t>Longimicrobiales</t>
  </si>
  <si>
    <t>UBA6960</t>
  </si>
  <si>
    <t>IDS-52</t>
  </si>
  <si>
    <t>ids-52</t>
  </si>
  <si>
    <t>gemmatimonadota</t>
  </si>
  <si>
    <t>MAG19</t>
  </si>
  <si>
    <t>MAG55</t>
  </si>
  <si>
    <t>MAG113</t>
  </si>
  <si>
    <t>MAG84</t>
  </si>
  <si>
    <t>MAG128</t>
  </si>
  <si>
    <t>MAG120</t>
  </si>
  <si>
    <t>d__Bacteria;p__Myxococcota_A;c__UBA9160;o__UBA9160;f__PR03;g__CAADGG01;s__CAADGG01 sp900696485</t>
  </si>
  <si>
    <t>Myxococcota_A</t>
  </si>
  <si>
    <t>UBA9160</t>
  </si>
  <si>
    <t>PR03</t>
  </si>
  <si>
    <t>CAADGG01</t>
  </si>
  <si>
    <t>CAADGG01 sp900696485</t>
  </si>
  <si>
    <t>caadgg01</t>
  </si>
  <si>
    <t>myxococcota_a</t>
  </si>
  <si>
    <t>MAG88</t>
  </si>
  <si>
    <t>MAG4</t>
  </si>
  <si>
    <t>MAG61</t>
  </si>
  <si>
    <t>d__Bacteria;p__Pseudomonadota;c__Gammaproteobacteria;o__GCA-2729495;f__GCA-2729495;g__GCA-002729875;s__Unclassified</t>
  </si>
  <si>
    <t>GCA-2729495</t>
  </si>
  <si>
    <t>GCA-002729875</t>
  </si>
  <si>
    <t>gca-002729875</t>
  </si>
  <si>
    <t>MAG6</t>
  </si>
  <si>
    <t>d__Bacteria;p__Acidobacteriota;c__Holophagae;o__Acanthopleuribacterales;f__Acanthopleuribacteraceae;g__JAGQSC01;s__Unclassified</t>
  </si>
  <si>
    <t>Holophagae</t>
  </si>
  <si>
    <t>Acanthopleuribacterales</t>
  </si>
  <si>
    <t>Acanthopleuribacteraceae</t>
  </si>
  <si>
    <t>JAGQSC01</t>
  </si>
  <si>
    <t>jagqsc01</t>
  </si>
  <si>
    <t>MAG71</t>
  </si>
  <si>
    <t>MAG31</t>
  </si>
  <si>
    <t>MAG86</t>
  </si>
  <si>
    <t>d__Bacteria;p__Pseudomonadota;c__Gammaproteobacteria;o__Pseudomonadales;f__Alcanivoracaceae;g__Unclassified;s__Unclassified</t>
  </si>
  <si>
    <t>Alcanivoracaceae</t>
  </si>
  <si>
    <t>MAG108</t>
  </si>
  <si>
    <t>d__Bacteria;p__Myxococcota;c__UBA9042;o__PHBI01;f__PHBI01;g__Unclassified;s__Unclassified</t>
  </si>
  <si>
    <t>UBA9042</t>
  </si>
  <si>
    <t>PHBI01</t>
  </si>
  <si>
    <t>MAG24</t>
  </si>
  <si>
    <t>d__Bacteria;p__Bacteroidota;c__Bacteroidia;o__Bacteroidales;f__JAADJA01;g__JAADJA01;s__Unclassified</t>
  </si>
  <si>
    <t>Bacteroidales</t>
  </si>
  <si>
    <t>JAADJA01</t>
  </si>
  <si>
    <t>jaadja01</t>
  </si>
  <si>
    <t>MAG12</t>
  </si>
  <si>
    <t>MAG40</t>
  </si>
  <si>
    <t>MAG96</t>
  </si>
  <si>
    <t>MAG123</t>
  </si>
  <si>
    <t>d__Bacteria;p__Bacteroidota;c__Bacteroidia;o__Chitinophagales;f__Saprospiraceae;g__JAGQWW01;s__Unclassified</t>
  </si>
  <si>
    <t>JAGQWW01</t>
  </si>
  <si>
    <t>jagqww01</t>
  </si>
  <si>
    <t>MAG89</t>
  </si>
  <si>
    <t>d__Bacteria;p__Bacteroidota;c__Rhodothermia;o__Rhodothermales;f__UBA10348;g__UBA10348;s__Unclassified</t>
  </si>
  <si>
    <t>Rhodothermales</t>
  </si>
  <si>
    <t>UBA10348</t>
  </si>
  <si>
    <t>uba10348</t>
  </si>
  <si>
    <t>MAG48</t>
  </si>
  <si>
    <t>MAG58</t>
  </si>
  <si>
    <t>d__Bacteria;p__Pseudomonadota;c__Gammaproteobacteria;o__Woeseiales;f__Woeseiaceae;g__UBA1847;s__UBA1847 sp002338605</t>
  </si>
  <si>
    <t>Woeseiales</t>
  </si>
  <si>
    <t>Woeseiaceae</t>
  </si>
  <si>
    <t>UBA1847</t>
  </si>
  <si>
    <t>UBA1847 sp002338605</t>
  </si>
  <si>
    <t>uba1847</t>
  </si>
  <si>
    <t>MAG109</t>
  </si>
  <si>
    <t>MAG29</t>
  </si>
  <si>
    <t>d__Bacteria;p__Bacteroidota;c__Bacteroidia;o__Flavobacteriales;f__Flavobacteriaceae;g__Maribacter_A;s__Unclassified</t>
  </si>
  <si>
    <t>Maribacter_A</t>
  </si>
  <si>
    <t>maribacter_a</t>
  </si>
  <si>
    <t>MAG25</t>
  </si>
  <si>
    <t>d__Bacteria;p__Bdellovibrionota;c__Bdellovibrionia;o__Bdellovibrionales;f__UBA840;g__UBA3535;s__Unclassified</t>
  </si>
  <si>
    <t>Bdellovibrionia</t>
  </si>
  <si>
    <t>Bdellovibrionales</t>
  </si>
  <si>
    <t>UBA840</t>
  </si>
  <si>
    <t>UBA3535</t>
  </si>
  <si>
    <t>uba3535</t>
  </si>
  <si>
    <t>MAG105</t>
  </si>
  <si>
    <t>d__Bacteria;p__Patescibacteria;c__Dojkabacteria;o__SC72;f__SC72;g__Unclassified;s__Unclassified</t>
  </si>
  <si>
    <t>Patescibacteria</t>
  </si>
  <si>
    <t>Dojkabacteria</t>
  </si>
  <si>
    <t>SC72</t>
  </si>
  <si>
    <t>patescibacteria</t>
  </si>
  <si>
    <t>MAG60</t>
  </si>
  <si>
    <t>d__Bacteria;p__Planctomycetota;c__Phycisphaerae;o__Phycisphaerales;f__Phycisphaeraceae;g__JAHQVV01;s__Unclassified</t>
  </si>
  <si>
    <t>JAHQVV01</t>
  </si>
  <si>
    <t>jahqvv01</t>
  </si>
  <si>
    <t>MAG122</t>
  </si>
  <si>
    <t>MAG41</t>
  </si>
  <si>
    <t>d__Bacteria;p__Acidobacteriota;c__Terriglobia;o__Bryobacterales;f__Bryobacteraceae;g__Unclassified;s__Unclassified</t>
  </si>
  <si>
    <t>Terriglobia</t>
  </si>
  <si>
    <t>Bryobacterales</t>
  </si>
  <si>
    <t>Bryobacteraceae</t>
  </si>
  <si>
    <t>MAG50</t>
  </si>
  <si>
    <t>d__Bacteria;p__Myxococcota_A;c__UBA9160;o__UBA9160;f__UBA6930;g__GCA-2687015;s__Unclassified</t>
  </si>
  <si>
    <t>UBA6930</t>
  </si>
  <si>
    <t>GCA-2687015</t>
  </si>
  <si>
    <t>gca-2687015</t>
  </si>
  <si>
    <t>MAG116</t>
  </si>
  <si>
    <t>d__Bacteria;p__Pseudomonadota;c__Alphaproteobacteria;o__Caulobacterales;f__Maricaulaceae;g__Litorimonas;s__Unclassified</t>
  </si>
  <si>
    <t>Caulobacterales</t>
  </si>
  <si>
    <t>Maricaulaceae</t>
  </si>
  <si>
    <t>Litorimonas</t>
  </si>
  <si>
    <t>litorimonas</t>
  </si>
  <si>
    <t>MAG82</t>
  </si>
  <si>
    <t>d__Bacteria;p__Bacteroidota;c__Kapabacteria;o__Kapabacteriales;f__UBA2268;g__PGYR01;s__Unclassified</t>
  </si>
  <si>
    <t>Kapabacteria</t>
  </si>
  <si>
    <t>Kapabacteriales</t>
  </si>
  <si>
    <t>UBA2268</t>
  </si>
  <si>
    <t>PGYR01</t>
  </si>
  <si>
    <t>pgyr01</t>
  </si>
  <si>
    <t>MAG65</t>
  </si>
  <si>
    <t>MAG33</t>
  </si>
  <si>
    <t>d__Bacteria;p__Patescibacteria;c__Microgenomatia;o__UBA1400;f__PJMF01;g__JAHDXH01;s__Unclassified</t>
  </si>
  <si>
    <t>Microgenomatia</t>
  </si>
  <si>
    <t>UBA1400</t>
  </si>
  <si>
    <t>PJMF01</t>
  </si>
  <si>
    <t>JAHDXH01</t>
  </si>
  <si>
    <t>jahdxh01</t>
  </si>
  <si>
    <t>MAG49</t>
  </si>
  <si>
    <t>MAG51</t>
  </si>
  <si>
    <t>d__Bacteria;p__Patescibacteria;c__Paceibacteria;o__UBA9983_A;f__UBA918;g__OLB19;s__Unclassified</t>
  </si>
  <si>
    <t>Paceibacteria</t>
  </si>
  <si>
    <t>UBA9983_A</t>
  </si>
  <si>
    <t>UBA918</t>
  </si>
  <si>
    <t>OLB19</t>
  </si>
  <si>
    <t>olb19</t>
  </si>
  <si>
    <t>MAG112</t>
  </si>
  <si>
    <t>MAG28</t>
  </si>
  <si>
    <t>MAG15</t>
  </si>
  <si>
    <t>d__Bacteria;p__Chloroflexota;c__Anaerolineae;o__Promineofilales;f__Promineofilaceae;g__GCA-2746795;s__Unclassified</t>
  </si>
  <si>
    <t>c_Anaerolinea_g_GCA-2746795</t>
  </si>
  <si>
    <t>gca-2746795</t>
  </si>
  <si>
    <t>GCA-2746795</t>
  </si>
  <si>
    <t>MAG70</t>
  </si>
  <si>
    <t>d__Bacteria;p__Chloroflexota;c__Anaerolineae;o__Promineofilales;f__Promineofilaceae;g__JACKCC01;s__Unclassified</t>
  </si>
  <si>
    <t>c_Anaerolinea_g_JACKCC01</t>
  </si>
  <si>
    <t>jackcc01</t>
  </si>
  <si>
    <t>JACKCC01</t>
  </si>
  <si>
    <t>MAG63</t>
  </si>
  <si>
    <t>d__Bacteria;p__Patescibacteria;c__Paceibacteria;o__UBA6257;f__GWB1-50-10;g__Unclassified;s__Unclassified</t>
  </si>
  <si>
    <t>UBA6257</t>
  </si>
  <si>
    <t>GWB1-50-10</t>
  </si>
  <si>
    <t>MAG95</t>
  </si>
  <si>
    <t>MAG100</t>
  </si>
  <si>
    <t>d__Bacteria;p__Bacteroidota;c__Bacteroidia;o__Flavobacteriales;f__Flavobacteriaceae;g__Mesonia;s__Unclassified</t>
  </si>
  <si>
    <t>Mesonia</t>
  </si>
  <si>
    <t>mesonia</t>
  </si>
  <si>
    <t>MAG68</t>
  </si>
  <si>
    <t>MAG102</t>
  </si>
  <si>
    <t>MAG110</t>
  </si>
  <si>
    <t>d__Bacteria;p__Planctomycetota;c__Phycisphaerae;o__Phycisphaerales;f__UBA1924;g__JACKHB01;s__Unclassified</t>
  </si>
  <si>
    <t>JACKHB01</t>
  </si>
  <si>
    <t>jackhb01</t>
  </si>
  <si>
    <t>MAG35</t>
  </si>
  <si>
    <t>MAG125</t>
  </si>
  <si>
    <t>MAG21</t>
  </si>
  <si>
    <t>d__Bacteria;p__Bacteroidota;c__Ignavibacteria;o__Ignavibacteriales;f__Melioribacteraceae;g__SURF-28;s__Unclassified</t>
  </si>
  <si>
    <t>SURF-28</t>
  </si>
  <si>
    <t>surf-28</t>
  </si>
  <si>
    <t>MAG27</t>
  </si>
  <si>
    <t>d__Bacteria;p__Verrucomicrobiota;c__Kiritimatiellia;o__SLAD01;f__WLWN01;g__Unclassified;s__Unclassified</t>
  </si>
  <si>
    <t>SLAD01</t>
  </si>
  <si>
    <t>WLWN01</t>
  </si>
  <si>
    <t>MAG47</t>
  </si>
  <si>
    <t>d__Bacteria;p__Planctomycetota;c__Planctomycetia;o__Pirellulales;f__Pirellulaceae;g__Aureliella;s__Unclassified</t>
  </si>
  <si>
    <t>Planctomycetia</t>
  </si>
  <si>
    <t>Pirellulales</t>
  </si>
  <si>
    <t>Pirellulaceae</t>
  </si>
  <si>
    <t>Aureliella</t>
  </si>
  <si>
    <t>aureliella</t>
  </si>
  <si>
    <t>MAG45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</si>
</sst>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0"/>
  <sheetViews>
    <sheetView tabSelected="1" topLeftCell="B1" zoomScaleNormal="66" workbookViewId="0">
      <selection activeCell="J11" sqref="J11"/>
    </sheetView>
  </sheetViews>
  <sheetFormatPr baseColWidth="10" defaultColWidth="9" defaultRowHeight="15" x14ac:dyDescent="0.2"/>
  <cols>
    <col min="5" max="5" width="14" customWidth="1"/>
    <col min="6" max="6" width="12.83203125" customWidth="1"/>
    <col min="7" max="7" width="24" customWidth="1"/>
    <col min="8" max="8" width="25" customWidth="1"/>
    <col min="10" max="19" width="12.6640625" style="2"/>
    <col min="20" max="20" width="13.83203125" style="2"/>
    <col min="21" max="22" width="12.6640625"/>
    <col min="23" max="23" width="15.1640625" customWidth="1"/>
    <col min="24" max="24" width="17.83203125" customWidth="1"/>
    <col min="27" max="27" width="14.6640625" style="6" customWidth="1"/>
    <col min="28" max="28" width="9" style="6"/>
    <col min="29" max="29" width="24" customWidth="1"/>
  </cols>
  <sheetData>
    <row r="1" spans="1:2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5" t="s">
        <v>26</v>
      </c>
      <c r="AB1" s="5" t="s">
        <v>27</v>
      </c>
      <c r="AC1" s="1" t="s">
        <v>28</v>
      </c>
    </row>
    <row r="2" spans="1:29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s="2">
        <v>0.17988752999999999</v>
      </c>
      <c r="K2" s="2">
        <v>0.12002813</v>
      </c>
      <c r="L2" s="2">
        <v>1.1000212</v>
      </c>
      <c r="M2" s="2">
        <v>1.6334302000000001</v>
      </c>
      <c r="N2" s="2">
        <v>0.22023797000000001</v>
      </c>
      <c r="O2" s="2">
        <v>1.2034912</v>
      </c>
      <c r="P2" s="2">
        <v>0</v>
      </c>
      <c r="Q2" s="2">
        <v>0.46664561999999998</v>
      </c>
      <c r="R2" s="2">
        <v>1.0190531229999999</v>
      </c>
      <c r="S2" s="2">
        <v>4.4570962300000003</v>
      </c>
      <c r="T2" s="2">
        <f>LOG10(S2)</f>
        <v>0.64905201073119279</v>
      </c>
      <c r="U2">
        <v>8.5365785167071202</v>
      </c>
      <c r="V2">
        <v>14.902410895720401</v>
      </c>
      <c r="W2" t="s">
        <v>38</v>
      </c>
      <c r="X2" t="s">
        <v>39</v>
      </c>
      <c r="Y2">
        <v>11</v>
      </c>
      <c r="Z2">
        <v>838</v>
      </c>
      <c r="AA2" s="6">
        <v>71</v>
      </c>
      <c r="AB2" s="6" t="b">
        <v>1</v>
      </c>
      <c r="AC2" t="s">
        <v>36</v>
      </c>
    </row>
    <row r="3" spans="1:29" x14ac:dyDescent="0.2">
      <c r="A3" t="s">
        <v>40</v>
      </c>
      <c r="B3" t="s">
        <v>41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42</v>
      </c>
      <c r="J3" s="2">
        <v>3.1308282E-2</v>
      </c>
      <c r="K3" s="2">
        <v>4.2732142000000001E-2</v>
      </c>
      <c r="L3" s="2">
        <v>0.38151597999999998</v>
      </c>
      <c r="M3" s="2">
        <v>0.99274549999999995</v>
      </c>
      <c r="N3" s="2">
        <v>0.11768859600000001</v>
      </c>
      <c r="O3" s="2">
        <v>0.19058393000000001</v>
      </c>
      <c r="P3" s="2">
        <v>5.7362379999999998E-2</v>
      </c>
      <c r="Q3" s="2">
        <v>0.151852135</v>
      </c>
      <c r="R3" s="2">
        <v>0.43367267500000001</v>
      </c>
      <c r="S3" s="2">
        <v>1.81393681</v>
      </c>
      <c r="T3" s="2">
        <f t="shared" ref="T3:T34" si="0">LOG10(S3)</f>
        <v>0.25862215397749044</v>
      </c>
      <c r="U3">
        <v>1.8029230623183701</v>
      </c>
      <c r="V3">
        <v>3.8685709241917401</v>
      </c>
      <c r="W3" t="s">
        <v>38</v>
      </c>
      <c r="X3" t="s">
        <v>39</v>
      </c>
      <c r="Y3">
        <v>11</v>
      </c>
      <c r="Z3">
        <v>838</v>
      </c>
      <c r="AA3" s="6">
        <v>71</v>
      </c>
      <c r="AB3" s="6" t="b">
        <v>1</v>
      </c>
      <c r="AC3" t="s">
        <v>36</v>
      </c>
    </row>
    <row r="4" spans="1:29" x14ac:dyDescent="0.2">
      <c r="A4" t="s">
        <v>43</v>
      </c>
      <c r="B4" t="s">
        <v>44</v>
      </c>
      <c r="C4" t="s">
        <v>31</v>
      </c>
      <c r="D4" t="s">
        <v>32</v>
      </c>
      <c r="E4" t="s">
        <v>33</v>
      </c>
      <c r="F4" t="s">
        <v>34</v>
      </c>
      <c r="G4" t="s">
        <v>45</v>
      </c>
      <c r="H4" t="s">
        <v>46</v>
      </c>
      <c r="I4" t="s">
        <v>47</v>
      </c>
      <c r="J4" s="2">
        <v>2.9226180000000001E-2</v>
      </c>
      <c r="K4" s="2">
        <v>2.9289855E-2</v>
      </c>
      <c r="L4" s="2">
        <v>1.5632294</v>
      </c>
      <c r="M4" s="2">
        <v>2.1432566999999998</v>
      </c>
      <c r="N4" s="2">
        <v>7.8035289999999993E-2</v>
      </c>
      <c r="O4" s="2">
        <v>7.0285749999999994E-2</v>
      </c>
      <c r="P4" s="2">
        <v>0</v>
      </c>
      <c r="Q4" s="2">
        <v>0.54058181199999999</v>
      </c>
      <c r="R4" s="2">
        <v>0.76385924699999996</v>
      </c>
      <c r="S4" s="2">
        <v>3.9133231749999999</v>
      </c>
      <c r="T4" s="2">
        <f t="shared" si="0"/>
        <v>0.5925457148374601</v>
      </c>
      <c r="U4">
        <v>9.5121604261284904</v>
      </c>
      <c r="V4">
        <v>12.2044425593988</v>
      </c>
      <c r="W4" t="s">
        <v>48</v>
      </c>
      <c r="X4" t="s">
        <v>39</v>
      </c>
      <c r="Y4">
        <v>20</v>
      </c>
      <c r="Z4">
        <v>2459</v>
      </c>
      <c r="AA4" s="6">
        <v>56</v>
      </c>
      <c r="AB4" s="6" t="b">
        <v>0</v>
      </c>
      <c r="AC4" t="s">
        <v>46</v>
      </c>
    </row>
    <row r="5" spans="1:29" x14ac:dyDescent="0.2">
      <c r="A5" t="s">
        <v>49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45</v>
      </c>
      <c r="H5" t="s">
        <v>46</v>
      </c>
      <c r="I5" t="s">
        <v>51</v>
      </c>
      <c r="J5" s="2">
        <v>9.2279180000000002E-2</v>
      </c>
      <c r="K5" s="2">
        <v>0.21877667000000001</v>
      </c>
      <c r="L5" s="2">
        <v>7.8785599999999997E-2</v>
      </c>
      <c r="M5" s="2">
        <v>0.70980626000000002</v>
      </c>
      <c r="N5" s="2">
        <v>6.7832900000000002E-2</v>
      </c>
      <c r="O5" s="2">
        <v>0.50145980000000001</v>
      </c>
      <c r="P5" s="2">
        <v>7.110822E-2</v>
      </c>
      <c r="Q5" s="2">
        <v>0.12994715000000001</v>
      </c>
      <c r="R5" s="2">
        <v>0.42636632000000002</v>
      </c>
      <c r="S5" s="2">
        <v>1.74004863</v>
      </c>
      <c r="T5" s="2">
        <f t="shared" si="0"/>
        <v>0.24056138589497345</v>
      </c>
      <c r="U5">
        <v>1.44745460101698</v>
      </c>
      <c r="V5">
        <v>3.4079058084641201</v>
      </c>
      <c r="W5" t="s">
        <v>48</v>
      </c>
      <c r="X5" t="s">
        <v>39</v>
      </c>
      <c r="Y5">
        <v>20</v>
      </c>
      <c r="Z5">
        <v>2459</v>
      </c>
      <c r="AA5" s="6">
        <v>56</v>
      </c>
      <c r="AB5" s="6" t="b">
        <v>0</v>
      </c>
      <c r="AC5" t="s">
        <v>46</v>
      </c>
    </row>
    <row r="6" spans="1:29" x14ac:dyDescent="0.2">
      <c r="A6" t="s">
        <v>52</v>
      </c>
      <c r="B6" t="s">
        <v>53</v>
      </c>
      <c r="C6" t="s">
        <v>31</v>
      </c>
      <c r="D6" t="s">
        <v>32</v>
      </c>
      <c r="E6" t="s">
        <v>33</v>
      </c>
      <c r="F6" t="s">
        <v>34</v>
      </c>
      <c r="G6" t="s">
        <v>45</v>
      </c>
      <c r="H6" t="s">
        <v>46</v>
      </c>
      <c r="I6" t="s">
        <v>54</v>
      </c>
      <c r="J6" s="2">
        <v>0</v>
      </c>
      <c r="K6" s="2">
        <v>2.3992530000000001E-2</v>
      </c>
      <c r="L6" s="2">
        <v>0.80678194999999997</v>
      </c>
      <c r="M6" s="2">
        <v>1.5007591</v>
      </c>
      <c r="N6" s="2">
        <v>4.8878904000000001E-2</v>
      </c>
      <c r="O6" s="2">
        <v>4.1340652999999998E-2</v>
      </c>
      <c r="P6" s="2">
        <v>0</v>
      </c>
      <c r="Q6" s="2">
        <v>0.27692482699999998</v>
      </c>
      <c r="R6" s="2">
        <v>0.53032621899999999</v>
      </c>
      <c r="S6" s="2">
        <v>2.4217531370000001</v>
      </c>
      <c r="T6" s="2">
        <f t="shared" si="0"/>
        <v>0.38412987096936851</v>
      </c>
      <c r="U6">
        <v>5.7975641141771899</v>
      </c>
      <c r="V6">
        <v>9.3795809306905795</v>
      </c>
      <c r="W6" t="s">
        <v>48</v>
      </c>
      <c r="X6" t="s">
        <v>39</v>
      </c>
      <c r="Y6">
        <v>20</v>
      </c>
      <c r="Z6">
        <v>2459</v>
      </c>
      <c r="AA6" s="6">
        <v>56</v>
      </c>
      <c r="AB6" s="6" t="b">
        <v>0</v>
      </c>
      <c r="AC6" t="s">
        <v>46</v>
      </c>
    </row>
    <row r="7" spans="1:29" x14ac:dyDescent="0.2">
      <c r="A7" t="s">
        <v>55</v>
      </c>
      <c r="B7" t="s">
        <v>56</v>
      </c>
      <c r="C7" t="s">
        <v>31</v>
      </c>
      <c r="D7" t="s">
        <v>32</v>
      </c>
      <c r="E7" t="s">
        <v>33</v>
      </c>
      <c r="F7" t="s">
        <v>57</v>
      </c>
      <c r="G7" t="s">
        <v>58</v>
      </c>
      <c r="H7" t="s">
        <v>59</v>
      </c>
      <c r="I7" t="s">
        <v>60</v>
      </c>
      <c r="J7" s="2">
        <v>30.058506000000001</v>
      </c>
      <c r="K7" s="2">
        <v>20.316227000000001</v>
      </c>
      <c r="L7" s="2">
        <v>8.5796589999999995</v>
      </c>
      <c r="M7" s="2">
        <v>11.794399</v>
      </c>
      <c r="N7" s="2">
        <v>16.207046999999999</v>
      </c>
      <c r="O7" s="2">
        <v>11.651916999999999</v>
      </c>
      <c r="P7" s="2">
        <v>28.766300000000001</v>
      </c>
      <c r="Q7" s="2">
        <v>19.651464000000001</v>
      </c>
      <c r="R7" s="2">
        <v>13.21778767</v>
      </c>
      <c r="S7" s="2">
        <v>127.374055</v>
      </c>
      <c r="T7" s="2">
        <f t="shared" si="0"/>
        <v>2.1050809749551478</v>
      </c>
      <c r="U7">
        <v>0.89253464895997603</v>
      </c>
      <c r="V7">
        <v>0.78290460996621603</v>
      </c>
      <c r="W7" t="s">
        <v>61</v>
      </c>
      <c r="X7" t="s">
        <v>39</v>
      </c>
      <c r="Y7">
        <v>14</v>
      </c>
      <c r="Z7">
        <v>10458</v>
      </c>
      <c r="AA7" s="6">
        <v>34</v>
      </c>
      <c r="AB7" s="6" t="b">
        <v>0</v>
      </c>
      <c r="AC7" t="s">
        <v>59</v>
      </c>
    </row>
    <row r="8" spans="1:29" x14ac:dyDescent="0.2">
      <c r="A8" t="s">
        <v>62</v>
      </c>
      <c r="B8" t="s">
        <v>63</v>
      </c>
      <c r="C8" t="s">
        <v>31</v>
      </c>
      <c r="D8" t="s">
        <v>32</v>
      </c>
      <c r="E8" t="s">
        <v>33</v>
      </c>
      <c r="F8" t="s">
        <v>57</v>
      </c>
      <c r="G8" t="s">
        <v>58</v>
      </c>
      <c r="H8" t="s">
        <v>59</v>
      </c>
      <c r="I8" t="s">
        <v>54</v>
      </c>
      <c r="J8" s="2">
        <v>3.0601281999999999</v>
      </c>
      <c r="K8" s="2">
        <v>2.0609155000000001</v>
      </c>
      <c r="L8" s="2">
        <v>1.3319757999999999</v>
      </c>
      <c r="M8" s="2">
        <v>1.1307111000000001</v>
      </c>
      <c r="N8" s="2">
        <v>1.52684</v>
      </c>
      <c r="O8" s="2">
        <v>1.0629274</v>
      </c>
      <c r="P8" s="2">
        <v>4.7064529999999998</v>
      </c>
      <c r="Q8" s="2">
        <v>2.1510064999999998</v>
      </c>
      <c r="R8" s="2">
        <v>1.2401595000000001</v>
      </c>
      <c r="S8" s="2">
        <v>14.879951</v>
      </c>
      <c r="T8" s="2">
        <f t="shared" si="0"/>
        <v>1.1726015010711064</v>
      </c>
      <c r="U8">
        <v>0.66471519696887305</v>
      </c>
      <c r="V8">
        <v>0.47341101176385902</v>
      </c>
      <c r="W8" t="s">
        <v>61</v>
      </c>
      <c r="X8" t="s">
        <v>39</v>
      </c>
      <c r="Y8">
        <v>14</v>
      </c>
      <c r="Z8">
        <v>10458</v>
      </c>
      <c r="AA8" s="6">
        <v>34</v>
      </c>
      <c r="AB8" s="6" t="b">
        <v>0</v>
      </c>
      <c r="AC8" t="s">
        <v>59</v>
      </c>
    </row>
    <row r="9" spans="1:29" x14ac:dyDescent="0.2">
      <c r="A9" t="s">
        <v>64</v>
      </c>
      <c r="B9" t="s">
        <v>65</v>
      </c>
      <c r="C9" t="s">
        <v>31</v>
      </c>
      <c r="D9" t="s">
        <v>32</v>
      </c>
      <c r="E9" t="s">
        <v>33</v>
      </c>
      <c r="F9" t="s">
        <v>66</v>
      </c>
      <c r="G9" t="s">
        <v>67</v>
      </c>
      <c r="H9" t="s">
        <v>68</v>
      </c>
      <c r="I9" t="s">
        <v>69</v>
      </c>
      <c r="J9" s="2">
        <v>1.8896698000000001</v>
      </c>
      <c r="K9" s="2">
        <v>1.2907006999999999</v>
      </c>
      <c r="L9" s="2">
        <v>0.42770710000000001</v>
      </c>
      <c r="M9" s="2">
        <v>0.40789792000000002</v>
      </c>
      <c r="N9" s="2">
        <v>1.7692486999999999</v>
      </c>
      <c r="O9" s="2">
        <v>1.0942514999999999</v>
      </c>
      <c r="P9" s="2">
        <v>1.2149627000000001</v>
      </c>
      <c r="Q9" s="2">
        <v>1.202692533</v>
      </c>
      <c r="R9" s="2">
        <v>1.0904660399999999</v>
      </c>
      <c r="S9" s="2">
        <v>8.0944384199999995</v>
      </c>
      <c r="T9" s="2">
        <f t="shared" si="0"/>
        <v>0.90818672343462403</v>
      </c>
      <c r="U9">
        <v>0.99335569246618405</v>
      </c>
      <c r="V9">
        <v>0.93084932240448603</v>
      </c>
      <c r="W9" t="s">
        <v>70</v>
      </c>
      <c r="X9" t="s">
        <v>39</v>
      </c>
      <c r="Y9">
        <v>5</v>
      </c>
      <c r="Z9">
        <v>710</v>
      </c>
      <c r="AA9" s="6">
        <v>16</v>
      </c>
      <c r="AB9" s="6" t="b">
        <v>1</v>
      </c>
      <c r="AC9" t="s">
        <v>68</v>
      </c>
    </row>
    <row r="10" spans="1:29" x14ac:dyDescent="0.2">
      <c r="A10" t="s">
        <v>71</v>
      </c>
      <c r="B10" t="s">
        <v>65</v>
      </c>
      <c r="C10" t="s">
        <v>31</v>
      </c>
      <c r="D10" t="s">
        <v>32</v>
      </c>
      <c r="E10" t="s">
        <v>33</v>
      </c>
      <c r="F10" t="s">
        <v>66</v>
      </c>
      <c r="G10" t="s">
        <v>67</v>
      </c>
      <c r="H10" t="s">
        <v>68</v>
      </c>
      <c r="I10" t="s">
        <v>69</v>
      </c>
      <c r="J10" s="2">
        <v>1.6716420000000001</v>
      </c>
      <c r="K10" s="2">
        <v>1.1294857</v>
      </c>
      <c r="L10" s="2">
        <v>0.35711799999999999</v>
      </c>
      <c r="M10" s="2">
        <v>0.30328571999999998</v>
      </c>
      <c r="N10" s="2">
        <v>1.4649737</v>
      </c>
      <c r="O10" s="2">
        <v>0.89087070000000002</v>
      </c>
      <c r="P10" s="2">
        <v>1.8212235000000001</v>
      </c>
      <c r="Q10" s="2">
        <v>1.0527485670000001</v>
      </c>
      <c r="R10" s="2">
        <v>0.88637670700000004</v>
      </c>
      <c r="S10" s="2">
        <v>7.63859932</v>
      </c>
      <c r="T10" s="2">
        <f t="shared" si="0"/>
        <v>0.88301372986315207</v>
      </c>
      <c r="U10">
        <v>0.704672778775424</v>
      </c>
      <c r="V10">
        <v>0.62652373968314001</v>
      </c>
      <c r="W10" t="s">
        <v>70</v>
      </c>
      <c r="X10" t="s">
        <v>39</v>
      </c>
      <c r="Y10">
        <v>5</v>
      </c>
      <c r="Z10">
        <v>710</v>
      </c>
      <c r="AA10" s="6">
        <v>16</v>
      </c>
      <c r="AB10" s="6" t="b">
        <v>1</v>
      </c>
      <c r="AC10" t="s">
        <v>68</v>
      </c>
    </row>
    <row r="11" spans="1:29" x14ac:dyDescent="0.2">
      <c r="A11" t="s">
        <v>72</v>
      </c>
      <c r="B11" t="s">
        <v>73</v>
      </c>
      <c r="C11" t="s">
        <v>31</v>
      </c>
      <c r="D11" t="s">
        <v>32</v>
      </c>
      <c r="E11" t="s">
        <v>33</v>
      </c>
      <c r="F11" t="s">
        <v>74</v>
      </c>
      <c r="G11" t="s">
        <v>75</v>
      </c>
      <c r="H11" t="s">
        <v>76</v>
      </c>
      <c r="I11" t="s">
        <v>77</v>
      </c>
      <c r="J11" s="2">
        <v>0.44490790000000002</v>
      </c>
      <c r="K11" s="2">
        <v>0.63184580000000001</v>
      </c>
      <c r="L11" s="2">
        <v>3.1731994000000001</v>
      </c>
      <c r="M11" s="2">
        <v>1.1972955000000001</v>
      </c>
      <c r="N11" s="2">
        <v>0.60258979999999995</v>
      </c>
      <c r="O11" s="2">
        <v>0.94284796999999998</v>
      </c>
      <c r="P11" s="2">
        <v>0.75680654999999997</v>
      </c>
      <c r="Q11" s="2">
        <v>1.4166510329999999</v>
      </c>
      <c r="R11" s="2">
        <v>0.91424442299999997</v>
      </c>
      <c r="S11" s="2">
        <v>7.7494929199999998</v>
      </c>
      <c r="T11" s="2">
        <f t="shared" si="0"/>
        <v>0.88927328582879717</v>
      </c>
      <c r="U11">
        <v>1.52623558666467</v>
      </c>
      <c r="V11">
        <v>1.1412309312079201</v>
      </c>
      <c r="W11" t="s">
        <v>78</v>
      </c>
      <c r="X11" t="s">
        <v>39</v>
      </c>
      <c r="Y11">
        <v>3</v>
      </c>
      <c r="Z11">
        <v>676</v>
      </c>
      <c r="AA11" s="6">
        <v>15</v>
      </c>
      <c r="AB11" s="6" t="b">
        <v>0</v>
      </c>
      <c r="AC11" t="s">
        <v>76</v>
      </c>
    </row>
    <row r="12" spans="1:29" x14ac:dyDescent="0.2">
      <c r="A12" t="s">
        <v>79</v>
      </c>
      <c r="B12" t="s">
        <v>73</v>
      </c>
      <c r="C12" t="s">
        <v>31</v>
      </c>
      <c r="D12" t="s">
        <v>32</v>
      </c>
      <c r="E12" t="s">
        <v>33</v>
      </c>
      <c r="F12" t="s">
        <v>74</v>
      </c>
      <c r="G12" t="s">
        <v>75</v>
      </c>
      <c r="H12" t="s">
        <v>76</v>
      </c>
      <c r="I12" t="s">
        <v>77</v>
      </c>
      <c r="J12" s="2">
        <v>6.0532320000000001E-2</v>
      </c>
      <c r="K12" s="2">
        <v>0.31171306999999998</v>
      </c>
      <c r="L12" s="2">
        <v>1.8846381000000001</v>
      </c>
      <c r="M12" s="2">
        <v>0.64662779999999997</v>
      </c>
      <c r="N12" s="2">
        <v>0.22280185999999999</v>
      </c>
      <c r="O12" s="2">
        <v>0.49931824000000002</v>
      </c>
      <c r="P12" s="2">
        <v>0</v>
      </c>
      <c r="Q12" s="2">
        <v>0.75229449699999995</v>
      </c>
      <c r="R12" s="2">
        <v>0.45624930000000002</v>
      </c>
      <c r="S12" s="2">
        <v>3.6256313900000001</v>
      </c>
      <c r="T12" s="2">
        <f t="shared" si="0"/>
        <v>0.5593836482353699</v>
      </c>
      <c r="U12">
        <v>12.073346825511599</v>
      </c>
      <c r="V12">
        <v>8.3955990003219991</v>
      </c>
      <c r="W12" t="s">
        <v>78</v>
      </c>
      <c r="X12" t="s">
        <v>39</v>
      </c>
      <c r="Y12">
        <v>3</v>
      </c>
      <c r="Z12">
        <v>676</v>
      </c>
      <c r="AA12" s="6">
        <v>15</v>
      </c>
      <c r="AB12" s="6" t="b">
        <v>0</v>
      </c>
      <c r="AC12" t="s">
        <v>76</v>
      </c>
    </row>
    <row r="13" spans="1:29" x14ac:dyDescent="0.2">
      <c r="A13" t="s">
        <v>80</v>
      </c>
      <c r="B13" t="s">
        <v>73</v>
      </c>
      <c r="C13" t="s">
        <v>31</v>
      </c>
      <c r="D13" t="s">
        <v>32</v>
      </c>
      <c r="E13" t="s">
        <v>33</v>
      </c>
      <c r="F13" t="s">
        <v>74</v>
      </c>
      <c r="G13" t="s">
        <v>75</v>
      </c>
      <c r="H13" t="s">
        <v>76</v>
      </c>
      <c r="I13" t="s">
        <v>77</v>
      </c>
      <c r="J13" s="2">
        <v>7.6877039999999994E-2</v>
      </c>
      <c r="K13" s="2">
        <v>0.24168406000000001</v>
      </c>
      <c r="L13" s="2">
        <v>1.9046843</v>
      </c>
      <c r="M13" s="2">
        <v>0.6372835</v>
      </c>
      <c r="N13" s="2">
        <v>0.31314233000000002</v>
      </c>
      <c r="O13" s="2">
        <v>0.49940053000000001</v>
      </c>
      <c r="P13" s="2">
        <v>0</v>
      </c>
      <c r="Q13" s="2">
        <v>0.74108180000000001</v>
      </c>
      <c r="R13" s="2">
        <v>0.48327545300000002</v>
      </c>
      <c r="S13" s="2">
        <v>3.67307176</v>
      </c>
      <c r="T13" s="2">
        <f t="shared" si="0"/>
        <v>0.56502941314452815</v>
      </c>
      <c r="U13">
        <v>11.9454362321912</v>
      </c>
      <c r="V13">
        <v>8.7600907549059706</v>
      </c>
      <c r="W13" t="s">
        <v>78</v>
      </c>
      <c r="X13" t="s">
        <v>39</v>
      </c>
      <c r="Y13">
        <v>3</v>
      </c>
      <c r="Z13">
        <v>676</v>
      </c>
      <c r="AA13" s="6">
        <v>15</v>
      </c>
      <c r="AB13" s="6" t="b">
        <v>0</v>
      </c>
      <c r="AC13" t="s">
        <v>76</v>
      </c>
    </row>
    <row r="14" spans="1:29" x14ac:dyDescent="0.2">
      <c r="A14" t="s">
        <v>81</v>
      </c>
      <c r="B14" t="s">
        <v>82</v>
      </c>
      <c r="C14" t="s">
        <v>31</v>
      </c>
      <c r="D14" t="s">
        <v>32</v>
      </c>
      <c r="E14" t="s">
        <v>33</v>
      </c>
      <c r="F14" t="s">
        <v>74</v>
      </c>
      <c r="G14" t="s">
        <v>75</v>
      </c>
      <c r="H14" t="s">
        <v>83</v>
      </c>
      <c r="I14" t="s">
        <v>84</v>
      </c>
      <c r="J14" s="2">
        <v>1.5427796</v>
      </c>
      <c r="K14" s="2">
        <v>4.1600536999999997</v>
      </c>
      <c r="L14" s="2">
        <v>118.75067</v>
      </c>
      <c r="M14" s="2">
        <v>143.17439999999999</v>
      </c>
      <c r="N14" s="2">
        <v>2.633111</v>
      </c>
      <c r="O14" s="2">
        <v>105.469734</v>
      </c>
      <c r="P14" s="2">
        <v>0</v>
      </c>
      <c r="Q14" s="2">
        <v>41.484501100000003</v>
      </c>
      <c r="R14" s="2">
        <v>83.75908167</v>
      </c>
      <c r="S14" s="2">
        <v>375.73074830000002</v>
      </c>
      <c r="T14" s="2">
        <f t="shared" si="0"/>
        <v>2.5748767374391939</v>
      </c>
      <c r="U14">
        <v>76.866220908198699</v>
      </c>
      <c r="V14">
        <v>91.010200679149804</v>
      </c>
      <c r="W14" t="s">
        <v>85</v>
      </c>
      <c r="X14" t="s">
        <v>39</v>
      </c>
      <c r="Y14">
        <v>18</v>
      </c>
      <c r="Z14">
        <v>49550</v>
      </c>
      <c r="AA14" s="6">
        <v>13</v>
      </c>
      <c r="AB14" s="6" t="b">
        <v>0</v>
      </c>
      <c r="AC14" t="s">
        <v>83</v>
      </c>
    </row>
    <row r="15" spans="1:29" x14ac:dyDescent="0.2">
      <c r="A15" t="s">
        <v>86</v>
      </c>
      <c r="B15" t="s">
        <v>87</v>
      </c>
      <c r="C15" t="s">
        <v>31</v>
      </c>
      <c r="D15" t="s">
        <v>32</v>
      </c>
      <c r="E15" t="s">
        <v>33</v>
      </c>
      <c r="F15" t="s">
        <v>74</v>
      </c>
      <c r="G15" t="s">
        <v>75</v>
      </c>
      <c r="H15" t="s">
        <v>88</v>
      </c>
      <c r="I15" t="s">
        <v>89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3.0286730000000001E-2</v>
      </c>
      <c r="P15" s="2">
        <v>8.6286249999999995</v>
      </c>
      <c r="Q15" s="2">
        <v>0</v>
      </c>
      <c r="R15" s="2">
        <v>1.0095577E-2</v>
      </c>
      <c r="S15" s="2">
        <v>8.6589117299999998</v>
      </c>
      <c r="T15" s="2">
        <f t="shared" si="0"/>
        <v>0.93746331241513936</v>
      </c>
      <c r="U15">
        <v>2.14942233581067E-2</v>
      </c>
      <c r="V15">
        <v>2.5709749685530501E-2</v>
      </c>
      <c r="W15" t="s">
        <v>90</v>
      </c>
      <c r="X15" t="s">
        <v>39</v>
      </c>
      <c r="Y15">
        <v>2</v>
      </c>
      <c r="Z15">
        <v>3658</v>
      </c>
      <c r="AA15" s="6">
        <v>12</v>
      </c>
      <c r="AB15" s="6" t="b">
        <v>0</v>
      </c>
      <c r="AC15" t="s">
        <v>88</v>
      </c>
    </row>
    <row r="16" spans="1:29" x14ac:dyDescent="0.2">
      <c r="A16" t="s">
        <v>91</v>
      </c>
      <c r="B16" t="s">
        <v>92</v>
      </c>
      <c r="C16" t="s">
        <v>31</v>
      </c>
      <c r="D16" t="s">
        <v>32</v>
      </c>
      <c r="E16" t="s">
        <v>33</v>
      </c>
      <c r="F16" t="s">
        <v>57</v>
      </c>
      <c r="G16" t="s">
        <v>93</v>
      </c>
      <c r="H16" t="s">
        <v>94</v>
      </c>
      <c r="I16" t="s">
        <v>54</v>
      </c>
      <c r="J16" s="2">
        <v>4.1708863999999998E-2</v>
      </c>
      <c r="K16" s="2">
        <v>3.6234017E-2</v>
      </c>
      <c r="L16" s="2">
        <v>5.4940994999999999E-2</v>
      </c>
      <c r="M16" s="2">
        <v>0</v>
      </c>
      <c r="N16" s="2">
        <v>0</v>
      </c>
      <c r="O16" s="2">
        <v>0</v>
      </c>
      <c r="P16" s="2">
        <v>1.0105257999999999</v>
      </c>
      <c r="Q16" s="2">
        <v>4.4294624999999997E-2</v>
      </c>
      <c r="R16" s="2">
        <v>0</v>
      </c>
      <c r="S16" s="2">
        <v>1.1434096760000001</v>
      </c>
      <c r="T16" s="2">
        <f t="shared" si="0"/>
        <v>5.8201863071210183E-2</v>
      </c>
      <c r="U16">
        <v>0.12464013074699699</v>
      </c>
      <c r="V16">
        <v>6.7486560337043103E-2</v>
      </c>
      <c r="W16" t="s">
        <v>95</v>
      </c>
      <c r="X16" t="s">
        <v>39</v>
      </c>
      <c r="Y16">
        <v>2</v>
      </c>
      <c r="Z16">
        <v>228</v>
      </c>
      <c r="AA16" s="6">
        <v>10</v>
      </c>
      <c r="AB16" s="6" t="b">
        <v>0</v>
      </c>
      <c r="AC16" t="s">
        <v>94</v>
      </c>
    </row>
    <row r="17" spans="1:29" x14ac:dyDescent="0.2">
      <c r="A17" t="s">
        <v>96</v>
      </c>
      <c r="B17" t="s">
        <v>97</v>
      </c>
      <c r="C17" t="s">
        <v>31</v>
      </c>
      <c r="D17" t="s">
        <v>98</v>
      </c>
      <c r="E17" t="s">
        <v>99</v>
      </c>
      <c r="F17" t="s">
        <v>100</v>
      </c>
      <c r="G17" t="s">
        <v>101</v>
      </c>
      <c r="H17" t="s">
        <v>102</v>
      </c>
      <c r="I17" t="s">
        <v>54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1.9765064000000001</v>
      </c>
      <c r="Q17" s="2">
        <v>0</v>
      </c>
      <c r="R17" s="2">
        <v>0</v>
      </c>
      <c r="S17" s="2">
        <v>1.9765064000000001</v>
      </c>
      <c r="T17" s="2">
        <f t="shared" si="0"/>
        <v>0.29589822494267987</v>
      </c>
      <c r="U17">
        <v>4.4057946366894203E-2</v>
      </c>
      <c r="V17">
        <v>4.4057946366894203E-2</v>
      </c>
      <c r="W17" t="s">
        <v>103</v>
      </c>
      <c r="X17" t="s">
        <v>104</v>
      </c>
      <c r="Y17">
        <v>5</v>
      </c>
      <c r="Z17">
        <v>1628</v>
      </c>
      <c r="AA17" s="6">
        <v>9</v>
      </c>
      <c r="AB17" s="6" t="b">
        <v>0</v>
      </c>
      <c r="AC17" t="s">
        <v>102</v>
      </c>
    </row>
    <row r="18" spans="1:29" x14ac:dyDescent="0.2">
      <c r="A18" t="s">
        <v>105</v>
      </c>
      <c r="B18" t="s">
        <v>106</v>
      </c>
      <c r="C18" t="s">
        <v>31</v>
      </c>
      <c r="D18" t="s">
        <v>32</v>
      </c>
      <c r="E18" t="s">
        <v>33</v>
      </c>
      <c r="F18" t="s">
        <v>74</v>
      </c>
      <c r="G18" t="s">
        <v>75</v>
      </c>
      <c r="H18" t="s">
        <v>107</v>
      </c>
      <c r="I18" t="s">
        <v>54</v>
      </c>
      <c r="J18" s="2">
        <v>0</v>
      </c>
      <c r="K18" s="2">
        <v>0</v>
      </c>
      <c r="L18" s="2">
        <v>0.32199169999999999</v>
      </c>
      <c r="M18" s="2">
        <v>1.4623938000000001</v>
      </c>
      <c r="N18" s="2">
        <v>3.6873017000000001E-2</v>
      </c>
      <c r="O18" s="2">
        <v>7.4340370000000003E-2</v>
      </c>
      <c r="P18" s="2">
        <v>6.2551919999999997E-2</v>
      </c>
      <c r="Q18" s="2">
        <v>0.107330567</v>
      </c>
      <c r="R18" s="2">
        <v>0.52453572900000001</v>
      </c>
      <c r="S18" s="2">
        <v>1.958150807</v>
      </c>
      <c r="T18" s="2">
        <f t="shared" si="0"/>
        <v>0.29184613594813652</v>
      </c>
      <c r="U18">
        <v>1.36997041796062</v>
      </c>
      <c r="V18">
        <v>4.2562887752175502</v>
      </c>
      <c r="W18" t="s">
        <v>108</v>
      </c>
      <c r="X18" t="s">
        <v>39</v>
      </c>
      <c r="Y18">
        <v>1</v>
      </c>
      <c r="Z18">
        <v>157</v>
      </c>
      <c r="AA18" s="6">
        <v>9</v>
      </c>
      <c r="AB18" s="6" t="b">
        <v>0</v>
      </c>
      <c r="AC18" t="s">
        <v>107</v>
      </c>
    </row>
    <row r="19" spans="1:29" x14ac:dyDescent="0.2">
      <c r="A19" t="s">
        <v>109</v>
      </c>
      <c r="B19" t="s">
        <v>110</v>
      </c>
      <c r="C19" t="s">
        <v>31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t="s">
        <v>54</v>
      </c>
      <c r="J19" s="2">
        <v>55.729610000000001</v>
      </c>
      <c r="K19" s="2">
        <v>63.310367999999997</v>
      </c>
      <c r="L19" s="2">
        <v>36.147080000000003</v>
      </c>
      <c r="M19" s="2">
        <v>15.740462000000001</v>
      </c>
      <c r="N19" s="2">
        <v>47.703598</v>
      </c>
      <c r="O19" s="2">
        <v>40.208305000000003</v>
      </c>
      <c r="P19" s="2">
        <v>5.2080783999999998</v>
      </c>
      <c r="Q19" s="2">
        <v>51.72901933</v>
      </c>
      <c r="R19" s="2">
        <v>34.550788330000003</v>
      </c>
      <c r="S19" s="2">
        <v>264.04750139999999</v>
      </c>
      <c r="T19" s="2">
        <f t="shared" si="0"/>
        <v>2.4216820622493325</v>
      </c>
      <c r="U19">
        <v>2.1626979491687601</v>
      </c>
      <c r="V19">
        <v>1.9479906430017799</v>
      </c>
      <c r="W19" t="s">
        <v>116</v>
      </c>
      <c r="X19" t="s">
        <v>117</v>
      </c>
      <c r="Y19">
        <v>19</v>
      </c>
      <c r="Z19">
        <v>41446</v>
      </c>
      <c r="AA19" s="6">
        <v>8</v>
      </c>
      <c r="AB19" s="6" t="b">
        <v>0</v>
      </c>
      <c r="AC19" t="s">
        <v>115</v>
      </c>
    </row>
    <row r="20" spans="1:29" x14ac:dyDescent="0.2">
      <c r="A20" t="s">
        <v>118</v>
      </c>
      <c r="B20" t="s">
        <v>119</v>
      </c>
      <c r="C20" t="s">
        <v>31</v>
      </c>
      <c r="D20" t="s">
        <v>32</v>
      </c>
      <c r="E20" t="s">
        <v>120</v>
      </c>
      <c r="F20" t="s">
        <v>121</v>
      </c>
      <c r="G20" t="s">
        <v>122</v>
      </c>
      <c r="H20" t="s">
        <v>123</v>
      </c>
      <c r="I20" t="s">
        <v>54</v>
      </c>
      <c r="J20" s="2">
        <v>0.55054723999999999</v>
      </c>
      <c r="K20" s="2">
        <v>0.31798549999999998</v>
      </c>
      <c r="L20" s="2">
        <v>3.3032276999999999</v>
      </c>
      <c r="M20" s="2">
        <v>3.8217458999999998</v>
      </c>
      <c r="N20" s="2">
        <v>0.33915840000000003</v>
      </c>
      <c r="O20" s="2">
        <v>0.19494285</v>
      </c>
      <c r="P20" s="2">
        <v>3.1411056999999998</v>
      </c>
      <c r="Q20" s="2">
        <v>1.3905868130000001</v>
      </c>
      <c r="R20" s="2">
        <v>1.4519490500000001</v>
      </c>
      <c r="S20" s="2">
        <v>11.668713289999999</v>
      </c>
      <c r="T20" s="2">
        <f t="shared" si="0"/>
        <v>1.0670229689963771</v>
      </c>
      <c r="U20">
        <v>0.62265216751443497</v>
      </c>
      <c r="V20">
        <v>0.63998095623097395</v>
      </c>
      <c r="W20" t="s">
        <v>124</v>
      </c>
      <c r="X20" t="s">
        <v>39</v>
      </c>
      <c r="AA20" s="6">
        <v>8</v>
      </c>
      <c r="AB20" s="6" t="b">
        <v>0</v>
      </c>
      <c r="AC20" t="s">
        <v>123</v>
      </c>
    </row>
    <row r="21" spans="1:29" x14ac:dyDescent="0.2">
      <c r="A21" t="s">
        <v>125</v>
      </c>
      <c r="B21" t="s">
        <v>110</v>
      </c>
      <c r="C21" t="s">
        <v>31</v>
      </c>
      <c r="D21" t="s">
        <v>111</v>
      </c>
      <c r="E21" t="s">
        <v>112</v>
      </c>
      <c r="F21" t="s">
        <v>113</v>
      </c>
      <c r="G21" t="s">
        <v>114</v>
      </c>
      <c r="H21" t="s">
        <v>115</v>
      </c>
      <c r="I21" t="s">
        <v>54</v>
      </c>
      <c r="J21" s="2">
        <v>16.69914</v>
      </c>
      <c r="K21" s="2">
        <v>25.277111000000001</v>
      </c>
      <c r="L21" s="2">
        <v>12.329977</v>
      </c>
      <c r="M21" s="2">
        <v>10.165328000000001</v>
      </c>
      <c r="N21" s="2">
        <v>36.590899999999998</v>
      </c>
      <c r="O21" s="2">
        <v>21.092040999999998</v>
      </c>
      <c r="P21" s="2">
        <v>0.67221850000000005</v>
      </c>
      <c r="Q21" s="2">
        <v>18.102076</v>
      </c>
      <c r="R21" s="2">
        <v>22.616089670000001</v>
      </c>
      <c r="S21" s="2">
        <v>122.82671550000001</v>
      </c>
      <c r="T21" s="2">
        <f t="shared" si="0"/>
        <v>2.0892928385669314</v>
      </c>
      <c r="U21">
        <v>5.4310871292491596</v>
      </c>
      <c r="V21">
        <v>5.8203934552674497</v>
      </c>
      <c r="W21" t="s">
        <v>116</v>
      </c>
      <c r="X21" t="s">
        <v>117</v>
      </c>
      <c r="Y21">
        <v>19</v>
      </c>
      <c r="Z21">
        <v>41446</v>
      </c>
      <c r="AA21" s="6">
        <v>8</v>
      </c>
      <c r="AB21" s="6" t="b">
        <v>0</v>
      </c>
      <c r="AC21" t="s">
        <v>115</v>
      </c>
    </row>
    <row r="22" spans="1:29" x14ac:dyDescent="0.2">
      <c r="A22" t="s">
        <v>126</v>
      </c>
      <c r="B22" t="s">
        <v>127</v>
      </c>
      <c r="C22" t="s">
        <v>31</v>
      </c>
      <c r="D22" t="s">
        <v>32</v>
      </c>
      <c r="E22" t="s">
        <v>120</v>
      </c>
      <c r="F22" t="s">
        <v>128</v>
      </c>
      <c r="G22" t="s">
        <v>129</v>
      </c>
      <c r="H22" t="s">
        <v>130</v>
      </c>
      <c r="I22" t="s">
        <v>54</v>
      </c>
      <c r="J22" s="2">
        <v>0.78385466000000004</v>
      </c>
      <c r="K22" s="2">
        <v>0.44956489999999999</v>
      </c>
      <c r="L22" s="2">
        <v>0.30135234999999999</v>
      </c>
      <c r="M22" s="2">
        <v>0.33297624999999997</v>
      </c>
      <c r="N22" s="2">
        <v>0.45820971999999999</v>
      </c>
      <c r="O22" s="2">
        <v>0.25264585000000001</v>
      </c>
      <c r="P22" s="2">
        <v>0.21406438999999999</v>
      </c>
      <c r="Q22" s="2">
        <v>0.51159063699999996</v>
      </c>
      <c r="R22" s="2">
        <v>0.34794394000000001</v>
      </c>
      <c r="S22" s="2">
        <v>2.7926681200000001</v>
      </c>
      <c r="T22" s="2">
        <f t="shared" si="0"/>
        <v>0.446019327316931</v>
      </c>
      <c r="U22">
        <v>1.9020214577216601</v>
      </c>
      <c r="V22">
        <v>1.4296050289553199</v>
      </c>
      <c r="W22" t="s">
        <v>131</v>
      </c>
      <c r="X22" t="s">
        <v>39</v>
      </c>
      <c r="Y22">
        <v>3</v>
      </c>
      <c r="Z22">
        <v>385</v>
      </c>
      <c r="AA22" s="6">
        <v>7</v>
      </c>
      <c r="AB22" s="6" t="b">
        <v>0</v>
      </c>
      <c r="AC22" t="s">
        <v>130</v>
      </c>
    </row>
    <row r="23" spans="1:29" x14ac:dyDescent="0.2">
      <c r="A23" t="s">
        <v>132</v>
      </c>
      <c r="B23" t="s">
        <v>133</v>
      </c>
      <c r="C23" t="s">
        <v>31</v>
      </c>
      <c r="D23" t="s">
        <v>32</v>
      </c>
      <c r="E23" t="s">
        <v>120</v>
      </c>
      <c r="F23" t="s">
        <v>128</v>
      </c>
      <c r="G23" t="s">
        <v>129</v>
      </c>
      <c r="H23" t="s">
        <v>134</v>
      </c>
      <c r="I23" t="s">
        <v>54</v>
      </c>
      <c r="J23" s="2">
        <v>0.40726825999999999</v>
      </c>
      <c r="K23" s="2">
        <v>0.25354025000000002</v>
      </c>
      <c r="L23" s="2">
        <v>0.36217021999999999</v>
      </c>
      <c r="M23" s="2">
        <v>0.20946466999999999</v>
      </c>
      <c r="N23" s="2">
        <v>0.17936212000000001</v>
      </c>
      <c r="O23" s="2">
        <v>0.21561235000000001</v>
      </c>
      <c r="P23" s="2">
        <v>2.3105392</v>
      </c>
      <c r="Q23" s="2">
        <v>0.34099290999999998</v>
      </c>
      <c r="R23" s="2">
        <v>0.201479713</v>
      </c>
      <c r="S23" s="2">
        <v>3.9379570699999999</v>
      </c>
      <c r="T23" s="2">
        <f t="shared" si="0"/>
        <v>0.59527097732679879</v>
      </c>
      <c r="U23">
        <v>0.27226913996035201</v>
      </c>
      <c r="V23">
        <v>0.185072482144652</v>
      </c>
      <c r="W23" t="s">
        <v>135</v>
      </c>
      <c r="X23" t="s">
        <v>39</v>
      </c>
      <c r="AA23" s="6">
        <v>6</v>
      </c>
      <c r="AB23" s="6" t="b">
        <v>0</v>
      </c>
      <c r="AC23" t="s">
        <v>134</v>
      </c>
    </row>
    <row r="24" spans="1:29" x14ac:dyDescent="0.2">
      <c r="A24" t="s">
        <v>136</v>
      </c>
      <c r="B24" t="s">
        <v>137</v>
      </c>
      <c r="C24" t="s">
        <v>31</v>
      </c>
      <c r="D24" t="s">
        <v>111</v>
      </c>
      <c r="E24" t="s">
        <v>112</v>
      </c>
      <c r="F24" t="s">
        <v>113</v>
      </c>
      <c r="G24" t="s">
        <v>114</v>
      </c>
      <c r="H24" t="s">
        <v>138</v>
      </c>
      <c r="I24" t="s">
        <v>139</v>
      </c>
      <c r="J24" s="2">
        <v>2.2489810000000001</v>
      </c>
      <c r="K24" s="2">
        <v>1.9231069000000001</v>
      </c>
      <c r="L24" s="2">
        <v>0.27580014000000003</v>
      </c>
      <c r="M24" s="2">
        <v>0.1052876</v>
      </c>
      <c r="N24" s="2">
        <v>2.7590987999999999</v>
      </c>
      <c r="O24" s="2">
        <v>0.20186022000000001</v>
      </c>
      <c r="P24" s="2">
        <v>0.68707269999999998</v>
      </c>
      <c r="Q24" s="2">
        <v>1.482629347</v>
      </c>
      <c r="R24" s="2">
        <v>1.022082207</v>
      </c>
      <c r="S24" s="2">
        <v>8.2012073599999997</v>
      </c>
      <c r="T24" s="2">
        <f t="shared" si="0"/>
        <v>0.91387779277238546</v>
      </c>
      <c r="U24">
        <v>1.68282465668144</v>
      </c>
      <c r="V24">
        <v>1.31936296750036</v>
      </c>
      <c r="W24" t="s">
        <v>140</v>
      </c>
      <c r="X24" t="s">
        <v>117</v>
      </c>
      <c r="AA24" s="6">
        <v>6</v>
      </c>
      <c r="AB24" s="6" t="b">
        <v>0</v>
      </c>
      <c r="AC24" t="s">
        <v>138</v>
      </c>
    </row>
    <row r="25" spans="1:29" x14ac:dyDescent="0.2">
      <c r="A25" t="s">
        <v>141</v>
      </c>
      <c r="B25" t="s">
        <v>142</v>
      </c>
      <c r="C25" t="s">
        <v>31</v>
      </c>
      <c r="D25" t="s">
        <v>111</v>
      </c>
      <c r="E25" t="s">
        <v>112</v>
      </c>
      <c r="F25" t="s">
        <v>113</v>
      </c>
      <c r="G25" t="s">
        <v>143</v>
      </c>
      <c r="H25" t="s">
        <v>144</v>
      </c>
      <c r="I25" t="s">
        <v>54</v>
      </c>
      <c r="J25" s="2">
        <v>0.24824884999999999</v>
      </c>
      <c r="K25" s="2">
        <v>0.66310009999999997</v>
      </c>
      <c r="L25" s="2">
        <v>0</v>
      </c>
      <c r="M25" s="2">
        <v>0</v>
      </c>
      <c r="N25" s="2">
        <v>0.23150735</v>
      </c>
      <c r="O25" s="2">
        <v>8.0922149999999998E-2</v>
      </c>
      <c r="P25" s="2">
        <v>0</v>
      </c>
      <c r="Q25" s="2">
        <v>0.30378298300000001</v>
      </c>
      <c r="R25" s="2">
        <v>0.10414316699999999</v>
      </c>
      <c r="S25" s="2">
        <v>1.22377845</v>
      </c>
      <c r="T25" s="2">
        <f t="shared" si="0"/>
        <v>8.7702801264218672E-2</v>
      </c>
      <c r="U25">
        <v>6.2082775978775597</v>
      </c>
      <c r="V25">
        <v>2.9382606998043199</v>
      </c>
      <c r="W25" t="s">
        <v>145</v>
      </c>
      <c r="X25" t="s">
        <v>117</v>
      </c>
      <c r="Y25">
        <v>4</v>
      </c>
      <c r="Z25">
        <v>70</v>
      </c>
      <c r="AA25" s="6">
        <v>6</v>
      </c>
      <c r="AB25" s="6" t="b">
        <v>0</v>
      </c>
      <c r="AC25" t="s">
        <v>144</v>
      </c>
    </row>
    <row r="26" spans="1:29" x14ac:dyDescent="0.2">
      <c r="A26" t="s">
        <v>146</v>
      </c>
      <c r="B26" t="s">
        <v>147</v>
      </c>
      <c r="C26" t="s">
        <v>31</v>
      </c>
      <c r="D26" t="s">
        <v>111</v>
      </c>
      <c r="E26" t="s">
        <v>112</v>
      </c>
      <c r="F26" t="s">
        <v>113</v>
      </c>
      <c r="G26" t="s">
        <v>148</v>
      </c>
      <c r="H26" t="s">
        <v>149</v>
      </c>
      <c r="I26" t="s">
        <v>54</v>
      </c>
      <c r="J26" s="2">
        <v>0.37861373999999998</v>
      </c>
      <c r="K26" s="2">
        <v>0.13616671999999999</v>
      </c>
      <c r="L26" s="2">
        <v>0</v>
      </c>
      <c r="M26" s="2">
        <v>0</v>
      </c>
      <c r="N26" s="2">
        <v>0.30491546000000003</v>
      </c>
      <c r="O26" s="2">
        <v>0.85434675000000004</v>
      </c>
      <c r="P26" s="2">
        <v>0</v>
      </c>
      <c r="Q26" s="2">
        <v>0.17159348699999999</v>
      </c>
      <c r="R26" s="2">
        <v>0.38642073700000001</v>
      </c>
      <c r="S26" s="2">
        <v>1.67404267</v>
      </c>
      <c r="T26" s="2">
        <f t="shared" si="0"/>
        <v>0.22376652361504659</v>
      </c>
      <c r="U26">
        <v>4.1023871672286401</v>
      </c>
      <c r="V26">
        <v>7.4226932050146397</v>
      </c>
      <c r="W26" t="s">
        <v>150</v>
      </c>
      <c r="X26" t="s">
        <v>117</v>
      </c>
      <c r="Y26">
        <v>13</v>
      </c>
      <c r="Z26">
        <v>6531</v>
      </c>
      <c r="AA26" s="6">
        <v>5</v>
      </c>
      <c r="AB26" s="6" t="b">
        <v>0</v>
      </c>
      <c r="AC26" t="s">
        <v>149</v>
      </c>
    </row>
    <row r="27" spans="1:29" x14ac:dyDescent="0.2">
      <c r="A27" t="s">
        <v>151</v>
      </c>
      <c r="B27" t="s">
        <v>152</v>
      </c>
      <c r="C27" t="s">
        <v>31</v>
      </c>
      <c r="D27" t="s">
        <v>32</v>
      </c>
      <c r="E27" t="s">
        <v>33</v>
      </c>
      <c r="F27" t="s">
        <v>74</v>
      </c>
      <c r="G27" t="s">
        <v>153</v>
      </c>
      <c r="H27" t="s">
        <v>154</v>
      </c>
      <c r="I27" t="s">
        <v>54</v>
      </c>
      <c r="J27" s="2">
        <v>4.9526652999999996</v>
      </c>
      <c r="K27" s="2">
        <v>4.0822099999999999</v>
      </c>
      <c r="L27" s="2">
        <v>0.14235391999999999</v>
      </c>
      <c r="M27" s="2">
        <v>0.12425461</v>
      </c>
      <c r="N27" s="2">
        <v>1.1820934999999999</v>
      </c>
      <c r="O27" s="2">
        <v>0.6003714</v>
      </c>
      <c r="P27" s="2">
        <v>0.60496013999999998</v>
      </c>
      <c r="Q27" s="2">
        <v>3.0590764070000001</v>
      </c>
      <c r="R27" s="2">
        <v>0.63557317000000002</v>
      </c>
      <c r="S27" s="2">
        <v>11.688908870000001</v>
      </c>
      <c r="T27" s="2">
        <f t="shared" si="0"/>
        <v>1.0677739727653719</v>
      </c>
      <c r="U27">
        <v>2.8052064665685101</v>
      </c>
      <c r="V27">
        <v>1.03638265546166</v>
      </c>
      <c r="W27" t="s">
        <v>155</v>
      </c>
      <c r="X27" t="s">
        <v>39</v>
      </c>
      <c r="Y27">
        <v>9</v>
      </c>
      <c r="Z27">
        <v>5524</v>
      </c>
      <c r="AA27" s="6">
        <v>5</v>
      </c>
      <c r="AB27" s="6" t="b">
        <v>1</v>
      </c>
      <c r="AC27" t="s">
        <v>154</v>
      </c>
    </row>
    <row r="28" spans="1:29" x14ac:dyDescent="0.2">
      <c r="A28" t="s">
        <v>156</v>
      </c>
      <c r="B28" t="s">
        <v>152</v>
      </c>
      <c r="C28" t="s">
        <v>31</v>
      </c>
      <c r="D28" t="s">
        <v>32</v>
      </c>
      <c r="E28" t="s">
        <v>33</v>
      </c>
      <c r="F28" t="s">
        <v>74</v>
      </c>
      <c r="G28" t="s">
        <v>153</v>
      </c>
      <c r="H28" t="s">
        <v>154</v>
      </c>
      <c r="I28" t="s">
        <v>54</v>
      </c>
      <c r="J28" s="2">
        <v>4.2562933000000003</v>
      </c>
      <c r="K28" s="2">
        <v>3.5299554</v>
      </c>
      <c r="L28" s="2">
        <v>1.0994166000000001</v>
      </c>
      <c r="M28" s="2">
        <v>1.2623278</v>
      </c>
      <c r="N28" s="2">
        <v>1.1302270000000001</v>
      </c>
      <c r="O28" s="2">
        <v>1.3587104000000001</v>
      </c>
      <c r="P28" s="2">
        <v>0.54041870000000003</v>
      </c>
      <c r="Q28" s="2">
        <v>2.9618884329999999</v>
      </c>
      <c r="R28" s="2">
        <v>1.250421733</v>
      </c>
      <c r="S28" s="2">
        <v>13.1773492</v>
      </c>
      <c r="T28" s="2">
        <f t="shared" si="0"/>
        <v>1.1198280549015951</v>
      </c>
      <c r="U28">
        <v>2.9941165967510002</v>
      </c>
      <c r="V28">
        <v>1.7954682959339201</v>
      </c>
      <c r="W28" t="s">
        <v>155</v>
      </c>
      <c r="X28" t="s">
        <v>39</v>
      </c>
      <c r="Y28">
        <v>9</v>
      </c>
      <c r="Z28">
        <v>5524</v>
      </c>
      <c r="AA28" s="6">
        <v>5</v>
      </c>
      <c r="AB28" s="6" t="b">
        <v>1</v>
      </c>
      <c r="AC28" t="s">
        <v>154</v>
      </c>
    </row>
    <row r="29" spans="1:29" x14ac:dyDescent="0.2">
      <c r="A29" t="s">
        <v>157</v>
      </c>
      <c r="B29" t="s">
        <v>152</v>
      </c>
      <c r="C29" t="s">
        <v>31</v>
      </c>
      <c r="D29" t="s">
        <v>32</v>
      </c>
      <c r="E29" t="s">
        <v>33</v>
      </c>
      <c r="F29" t="s">
        <v>74</v>
      </c>
      <c r="G29" t="s">
        <v>153</v>
      </c>
      <c r="H29" t="s">
        <v>154</v>
      </c>
      <c r="I29" t="s">
        <v>54</v>
      </c>
      <c r="J29" s="2">
        <v>5.1095724000000002</v>
      </c>
      <c r="K29" s="2">
        <v>4.1810419999999997</v>
      </c>
      <c r="L29" s="2">
        <v>3.9316133999999998</v>
      </c>
      <c r="M29" s="2">
        <v>3.883629</v>
      </c>
      <c r="N29" s="2">
        <v>2.8378445999999999</v>
      </c>
      <c r="O29" s="2">
        <v>2.9069045</v>
      </c>
      <c r="P29" s="2">
        <v>0.91295910000000002</v>
      </c>
      <c r="Q29" s="2">
        <v>4.4074092670000002</v>
      </c>
      <c r="R29" s="2">
        <v>3.209459367</v>
      </c>
      <c r="S29" s="2">
        <v>23.763565</v>
      </c>
      <c r="T29" s="2">
        <f t="shared" si="0"/>
        <v>1.3759115938717625</v>
      </c>
      <c r="U29">
        <v>2.51607448345941</v>
      </c>
      <c r="V29">
        <v>2.1486183203230702</v>
      </c>
      <c r="W29" t="s">
        <v>155</v>
      </c>
      <c r="X29" t="s">
        <v>39</v>
      </c>
      <c r="Y29">
        <v>9</v>
      </c>
      <c r="Z29">
        <v>5524</v>
      </c>
      <c r="AA29" s="6">
        <v>5</v>
      </c>
      <c r="AB29" s="6" t="b">
        <v>1</v>
      </c>
      <c r="AC29" t="s">
        <v>154</v>
      </c>
    </row>
    <row r="30" spans="1:29" x14ac:dyDescent="0.2">
      <c r="A30" t="s">
        <v>158</v>
      </c>
      <c r="B30" t="s">
        <v>159</v>
      </c>
      <c r="C30" t="s">
        <v>31</v>
      </c>
      <c r="D30" t="s">
        <v>32</v>
      </c>
      <c r="E30" t="s">
        <v>120</v>
      </c>
      <c r="F30" t="s">
        <v>160</v>
      </c>
      <c r="G30" t="s">
        <v>161</v>
      </c>
      <c r="H30" t="s">
        <v>162</v>
      </c>
      <c r="I30" t="s">
        <v>54</v>
      </c>
      <c r="J30" s="2">
        <v>1.2641171</v>
      </c>
      <c r="K30" s="2">
        <v>0.59161779999999997</v>
      </c>
      <c r="L30" s="2">
        <v>1.3406880000000001</v>
      </c>
      <c r="M30" s="2">
        <v>2.0624343999999999</v>
      </c>
      <c r="N30" s="2">
        <v>1.5876026999999999</v>
      </c>
      <c r="O30" s="2">
        <v>2.2146124999999999</v>
      </c>
      <c r="P30" s="2">
        <v>0.27313739999999997</v>
      </c>
      <c r="Q30" s="2">
        <v>1.0654743</v>
      </c>
      <c r="R30" s="2">
        <v>1.9548832</v>
      </c>
      <c r="S30" s="2">
        <v>9.3342098999999994</v>
      </c>
      <c r="T30" s="2">
        <f t="shared" si="0"/>
        <v>0.97007756271442491</v>
      </c>
      <c r="U30">
        <v>2.6759417756378099</v>
      </c>
      <c r="V30">
        <v>3.9293434478760298</v>
      </c>
      <c r="W30" t="s">
        <v>163</v>
      </c>
      <c r="X30" t="s">
        <v>39</v>
      </c>
      <c r="AA30" s="6">
        <v>4</v>
      </c>
      <c r="AB30" s="6" t="b">
        <v>0</v>
      </c>
      <c r="AC30" t="s">
        <v>162</v>
      </c>
    </row>
    <row r="31" spans="1:29" x14ac:dyDescent="0.2">
      <c r="A31" t="s">
        <v>164</v>
      </c>
      <c r="B31" t="s">
        <v>165</v>
      </c>
      <c r="C31" t="s">
        <v>31</v>
      </c>
      <c r="D31" t="s">
        <v>32</v>
      </c>
      <c r="E31" t="s">
        <v>33</v>
      </c>
      <c r="F31" t="s">
        <v>74</v>
      </c>
      <c r="G31" t="s">
        <v>75</v>
      </c>
      <c r="H31" t="s">
        <v>166</v>
      </c>
      <c r="I31" t="s">
        <v>167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1.583882</v>
      </c>
      <c r="Q31" s="2">
        <v>0</v>
      </c>
      <c r="R31" s="2">
        <v>0</v>
      </c>
      <c r="S31" s="2">
        <v>1.583882</v>
      </c>
      <c r="T31" s="2">
        <f t="shared" si="0"/>
        <v>0.19972282330286145</v>
      </c>
      <c r="U31">
        <v>5.0379183906913497E-2</v>
      </c>
      <c r="V31">
        <v>5.0379183906913497E-2</v>
      </c>
      <c r="W31" t="s">
        <v>168</v>
      </c>
      <c r="X31" t="s">
        <v>39</v>
      </c>
      <c r="AA31" s="6">
        <v>4</v>
      </c>
      <c r="AB31" s="6" t="b">
        <v>0</v>
      </c>
      <c r="AC31" t="s">
        <v>166</v>
      </c>
    </row>
    <row r="32" spans="1:29" x14ac:dyDescent="0.2">
      <c r="A32" t="s">
        <v>169</v>
      </c>
      <c r="B32" t="s">
        <v>159</v>
      </c>
      <c r="C32" t="s">
        <v>31</v>
      </c>
      <c r="D32" t="s">
        <v>32</v>
      </c>
      <c r="E32" t="s">
        <v>120</v>
      </c>
      <c r="F32" t="s">
        <v>160</v>
      </c>
      <c r="G32" t="s">
        <v>161</v>
      </c>
      <c r="H32" t="s">
        <v>162</v>
      </c>
      <c r="I32" t="s">
        <v>54</v>
      </c>
      <c r="J32" s="2">
        <v>1.0036586999999999</v>
      </c>
      <c r="K32" s="2">
        <v>0.57729810000000004</v>
      </c>
      <c r="L32" s="2">
        <v>1.045736</v>
      </c>
      <c r="M32" s="2">
        <v>1.6385787999999999</v>
      </c>
      <c r="N32" s="2">
        <v>1.1965190000000001</v>
      </c>
      <c r="O32" s="2">
        <v>1.8637147000000001</v>
      </c>
      <c r="P32" s="2">
        <v>0.21797006999999999</v>
      </c>
      <c r="Q32" s="2">
        <v>0.87556426700000001</v>
      </c>
      <c r="R32" s="2">
        <v>1.5662708329999999</v>
      </c>
      <c r="S32" s="2">
        <v>7.5434753700000003</v>
      </c>
      <c r="T32" s="2">
        <f t="shared" si="0"/>
        <v>0.8775714766756072</v>
      </c>
      <c r="U32">
        <v>2.75977860070171</v>
      </c>
      <c r="V32">
        <v>4.0508848916628901</v>
      </c>
      <c r="W32" t="s">
        <v>163</v>
      </c>
      <c r="X32" t="s">
        <v>39</v>
      </c>
      <c r="AA32" s="6">
        <v>4</v>
      </c>
      <c r="AB32" s="6" t="b">
        <v>0</v>
      </c>
      <c r="AC32" t="s">
        <v>162</v>
      </c>
    </row>
    <row r="33" spans="1:29" x14ac:dyDescent="0.2">
      <c r="A33" t="s">
        <v>170</v>
      </c>
      <c r="B33" t="s">
        <v>171</v>
      </c>
      <c r="C33" t="s">
        <v>31</v>
      </c>
      <c r="D33" t="s">
        <v>111</v>
      </c>
      <c r="E33" t="s">
        <v>112</v>
      </c>
      <c r="F33" t="s">
        <v>113</v>
      </c>
      <c r="G33" t="s">
        <v>148</v>
      </c>
      <c r="H33" t="s">
        <v>149</v>
      </c>
      <c r="I33" t="s">
        <v>54</v>
      </c>
      <c r="J33" s="2">
        <v>0</v>
      </c>
      <c r="K33" s="2">
        <v>0.97972040000000005</v>
      </c>
      <c r="L33" s="2">
        <v>0</v>
      </c>
      <c r="M33" s="2">
        <v>6.691344</v>
      </c>
      <c r="N33" s="2">
        <v>2.0088414999999999</v>
      </c>
      <c r="O33" s="2">
        <v>5.5985412999999999</v>
      </c>
      <c r="P33" s="2">
        <v>0</v>
      </c>
      <c r="Q33" s="2">
        <v>0.32657346700000001</v>
      </c>
      <c r="R33" s="2">
        <v>4.766242267</v>
      </c>
      <c r="S33" s="2">
        <v>15.2784472</v>
      </c>
      <c r="T33" s="2">
        <f t="shared" si="0"/>
        <v>1.1840792176729362</v>
      </c>
      <c r="U33">
        <v>6.5504476555463498</v>
      </c>
      <c r="V33">
        <v>36.0862568223965</v>
      </c>
      <c r="W33" t="s">
        <v>172</v>
      </c>
      <c r="X33" t="s">
        <v>117</v>
      </c>
      <c r="AB33" s="6" t="b">
        <v>0</v>
      </c>
      <c r="AC33" t="s">
        <v>173</v>
      </c>
    </row>
    <row r="34" spans="1:29" x14ac:dyDescent="0.2">
      <c r="A34" t="s">
        <v>174</v>
      </c>
      <c r="B34" t="s">
        <v>171</v>
      </c>
      <c r="C34" t="s">
        <v>31</v>
      </c>
      <c r="D34" t="s">
        <v>111</v>
      </c>
      <c r="E34" t="s">
        <v>112</v>
      </c>
      <c r="F34" t="s">
        <v>113</v>
      </c>
      <c r="G34" t="s">
        <v>148</v>
      </c>
      <c r="H34" t="s">
        <v>149</v>
      </c>
      <c r="I34" t="s">
        <v>54</v>
      </c>
      <c r="J34" s="2">
        <v>0</v>
      </c>
      <c r="K34" s="2">
        <v>0.88494896999999995</v>
      </c>
      <c r="L34" s="2">
        <v>0</v>
      </c>
      <c r="M34" s="2">
        <v>0.84820969999999996</v>
      </c>
      <c r="N34" s="2">
        <v>14.302337</v>
      </c>
      <c r="O34" s="2">
        <v>1.3200575999999999</v>
      </c>
      <c r="P34" s="2">
        <v>0</v>
      </c>
      <c r="Q34" s="2">
        <v>0.29498299</v>
      </c>
      <c r="R34" s="2">
        <v>5.4902014330000002</v>
      </c>
      <c r="S34" s="2">
        <v>17.355553270000001</v>
      </c>
      <c r="T34" s="2">
        <f t="shared" si="0"/>
        <v>1.2394384629096515</v>
      </c>
      <c r="U34">
        <v>6.0746130122548401</v>
      </c>
      <c r="V34">
        <v>38.490708058004003</v>
      </c>
      <c r="W34" t="s">
        <v>172</v>
      </c>
      <c r="X34" t="s">
        <v>117</v>
      </c>
      <c r="AB34" s="6" t="b">
        <v>0</v>
      </c>
      <c r="AC34" t="s">
        <v>173</v>
      </c>
    </row>
    <row r="35" spans="1:29" x14ac:dyDescent="0.2">
      <c r="A35" t="s">
        <v>175</v>
      </c>
      <c r="B35" t="s">
        <v>171</v>
      </c>
      <c r="C35" t="s">
        <v>31</v>
      </c>
      <c r="D35" t="s">
        <v>111</v>
      </c>
      <c r="E35" t="s">
        <v>112</v>
      </c>
      <c r="F35" t="s">
        <v>113</v>
      </c>
      <c r="G35" t="s">
        <v>148</v>
      </c>
      <c r="H35" t="s">
        <v>149</v>
      </c>
      <c r="I35" t="s">
        <v>54</v>
      </c>
      <c r="J35" s="2">
        <v>0</v>
      </c>
      <c r="K35" s="2">
        <v>13.775615999999999</v>
      </c>
      <c r="L35" s="2">
        <v>4.3350626000000003E-2</v>
      </c>
      <c r="M35" s="2">
        <v>0.48083672</v>
      </c>
      <c r="N35" s="2">
        <v>1.0429807</v>
      </c>
      <c r="O35" s="2">
        <v>11.626175999999999</v>
      </c>
      <c r="P35" s="2">
        <v>0</v>
      </c>
      <c r="Q35" s="2">
        <v>4.606322209</v>
      </c>
      <c r="R35" s="2">
        <v>4.3833311400000001</v>
      </c>
      <c r="S35" s="2">
        <v>26.968960045999999</v>
      </c>
      <c r="T35" s="2">
        <f t="shared" ref="T35:T66" si="1">LOG10(S35)</f>
        <v>1.4308641998829423</v>
      </c>
      <c r="U35">
        <v>35.514819925575701</v>
      </c>
      <c r="V35">
        <v>34.690443130829998</v>
      </c>
      <c r="W35" t="s">
        <v>172</v>
      </c>
      <c r="X35" t="s">
        <v>117</v>
      </c>
      <c r="AB35" s="6" t="b">
        <v>0</v>
      </c>
      <c r="AC35" t="s">
        <v>173</v>
      </c>
    </row>
    <row r="36" spans="1:29" x14ac:dyDescent="0.2">
      <c r="A36" t="s">
        <v>176</v>
      </c>
      <c r="B36" t="s">
        <v>177</v>
      </c>
      <c r="C36" t="s">
        <v>31</v>
      </c>
      <c r="D36" t="s">
        <v>111</v>
      </c>
      <c r="E36" t="s">
        <v>112</v>
      </c>
      <c r="F36" t="s">
        <v>113</v>
      </c>
      <c r="G36" t="s">
        <v>114</v>
      </c>
      <c r="H36" t="s">
        <v>178</v>
      </c>
      <c r="I36" t="s">
        <v>54</v>
      </c>
      <c r="J36" s="2">
        <v>16.399235000000001</v>
      </c>
      <c r="K36" s="2">
        <v>14.589498000000001</v>
      </c>
      <c r="L36" s="2">
        <v>2.9312138999999999</v>
      </c>
      <c r="M36" s="2">
        <v>0.77001554000000005</v>
      </c>
      <c r="N36" s="2">
        <v>17.451946</v>
      </c>
      <c r="O36" s="2">
        <v>2.8870246000000002</v>
      </c>
      <c r="P36" s="2">
        <v>0.71036089999999996</v>
      </c>
      <c r="Q36" s="2">
        <v>11.306648969999999</v>
      </c>
      <c r="R36" s="2">
        <v>7.0363287129999996</v>
      </c>
      <c r="S36" s="2">
        <v>55.739293940000003</v>
      </c>
      <c r="T36" s="2">
        <f t="shared" si="1"/>
        <v>1.746161463123177</v>
      </c>
      <c r="U36">
        <v>4.4458187719959801</v>
      </c>
      <c r="V36">
        <v>3.69603036495218</v>
      </c>
      <c r="W36" t="s">
        <v>179</v>
      </c>
      <c r="X36" t="s">
        <v>117</v>
      </c>
      <c r="Y36">
        <v>2</v>
      </c>
      <c r="Z36">
        <v>26</v>
      </c>
      <c r="AB36" s="6" t="b">
        <v>0</v>
      </c>
      <c r="AC36" t="s">
        <v>178</v>
      </c>
    </row>
    <row r="37" spans="1:29" x14ac:dyDescent="0.2">
      <c r="A37" t="s">
        <v>180</v>
      </c>
      <c r="B37" t="s">
        <v>171</v>
      </c>
      <c r="C37" t="s">
        <v>31</v>
      </c>
      <c r="D37" t="s">
        <v>111</v>
      </c>
      <c r="E37" t="s">
        <v>112</v>
      </c>
      <c r="F37" t="s">
        <v>113</v>
      </c>
      <c r="G37" t="s">
        <v>148</v>
      </c>
      <c r="H37" t="s">
        <v>149</v>
      </c>
      <c r="I37" t="s">
        <v>54</v>
      </c>
      <c r="J37" s="2">
        <v>2.2550319999999999</v>
      </c>
      <c r="K37" s="2">
        <v>0.17615700000000001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0.81039633300000002</v>
      </c>
      <c r="R37" s="2">
        <v>0</v>
      </c>
      <c r="S37" s="2">
        <v>2.4311889999999998</v>
      </c>
      <c r="T37" s="2">
        <f t="shared" si="1"/>
        <v>0.3858187220956984</v>
      </c>
      <c r="U37">
        <v>12.723661784137001</v>
      </c>
      <c r="V37">
        <v>1</v>
      </c>
      <c r="W37" t="s">
        <v>172</v>
      </c>
      <c r="X37" t="s">
        <v>117</v>
      </c>
      <c r="AB37" s="6" t="b">
        <v>0</v>
      </c>
      <c r="AC37" t="s">
        <v>173</v>
      </c>
    </row>
    <row r="38" spans="1:29" x14ac:dyDescent="0.2">
      <c r="A38" t="s">
        <v>181</v>
      </c>
      <c r="B38" t="s">
        <v>182</v>
      </c>
      <c r="C38" t="s">
        <v>31</v>
      </c>
      <c r="D38" t="s">
        <v>32</v>
      </c>
      <c r="E38" t="s">
        <v>120</v>
      </c>
      <c r="F38" t="s">
        <v>121</v>
      </c>
      <c r="G38" t="s">
        <v>122</v>
      </c>
      <c r="H38" t="s">
        <v>183</v>
      </c>
      <c r="I38" t="s">
        <v>184</v>
      </c>
      <c r="J38" s="2">
        <v>8.4632939999999994</v>
      </c>
      <c r="K38" s="2">
        <v>7.5723700000000003</v>
      </c>
      <c r="L38" s="2">
        <v>7.8673133999999996</v>
      </c>
      <c r="M38" s="2">
        <v>6.7868256999999996</v>
      </c>
      <c r="N38" s="2">
        <v>7.1334276000000001</v>
      </c>
      <c r="O38" s="2">
        <v>5.5721230000000004</v>
      </c>
      <c r="P38" s="2">
        <v>0.68887454000000004</v>
      </c>
      <c r="Q38" s="2">
        <v>7.9676591329999997</v>
      </c>
      <c r="R38" s="2">
        <v>6.4974587670000004</v>
      </c>
      <c r="S38" s="2">
        <v>44.084228240000002</v>
      </c>
      <c r="T38" s="2">
        <f t="shared" si="1"/>
        <v>1.6442832422238327</v>
      </c>
      <c r="U38">
        <v>3.9751145646575199</v>
      </c>
      <c r="V38">
        <v>3.65341968278699</v>
      </c>
      <c r="W38" t="s">
        <v>185</v>
      </c>
      <c r="X38" t="s">
        <v>39</v>
      </c>
      <c r="Y38">
        <v>4</v>
      </c>
      <c r="Z38">
        <v>264</v>
      </c>
      <c r="AB38" s="6" t="b">
        <v>0</v>
      </c>
      <c r="AC38" t="s">
        <v>183</v>
      </c>
    </row>
    <row r="39" spans="1:29" x14ac:dyDescent="0.2">
      <c r="A39" t="s">
        <v>186</v>
      </c>
      <c r="B39" t="s">
        <v>187</v>
      </c>
      <c r="C39" t="s">
        <v>31</v>
      </c>
      <c r="D39" t="s">
        <v>111</v>
      </c>
      <c r="E39" t="s">
        <v>112</v>
      </c>
      <c r="F39" t="s">
        <v>113</v>
      </c>
      <c r="G39" t="s">
        <v>148</v>
      </c>
      <c r="H39" t="s">
        <v>188</v>
      </c>
      <c r="I39" t="s">
        <v>189</v>
      </c>
      <c r="J39" s="2">
        <v>5.2099447000000003</v>
      </c>
      <c r="K39" s="2">
        <v>10.549098000000001</v>
      </c>
      <c r="L39" s="2">
        <v>5.1296863999999998E-2</v>
      </c>
      <c r="M39" s="2">
        <v>0</v>
      </c>
      <c r="N39" s="2">
        <v>9.2915379999999992</v>
      </c>
      <c r="O39" s="2">
        <v>1.2963735999999999</v>
      </c>
      <c r="P39" s="2">
        <v>3.8052651999999999E-2</v>
      </c>
      <c r="Q39" s="2">
        <v>5.2701131879999998</v>
      </c>
      <c r="R39" s="2">
        <v>3.5293038669999999</v>
      </c>
      <c r="S39" s="2">
        <v>26.436303815999999</v>
      </c>
      <c r="T39" s="2">
        <f t="shared" si="1"/>
        <v>1.4222007343034813</v>
      </c>
      <c r="U39">
        <v>21.847934037751301</v>
      </c>
      <c r="V39">
        <v>18.030042358761001</v>
      </c>
      <c r="W39" t="s">
        <v>190</v>
      </c>
      <c r="X39" t="s">
        <v>117</v>
      </c>
      <c r="AB39" s="6" t="b">
        <v>0</v>
      </c>
      <c r="AC39" t="s">
        <v>188</v>
      </c>
    </row>
    <row r="40" spans="1:29" x14ac:dyDescent="0.2">
      <c r="A40" t="s">
        <v>191</v>
      </c>
      <c r="B40" t="s">
        <v>192</v>
      </c>
      <c r="C40" t="s">
        <v>31</v>
      </c>
      <c r="D40" t="s">
        <v>193</v>
      </c>
      <c r="E40" t="s">
        <v>194</v>
      </c>
      <c r="F40" t="s">
        <v>195</v>
      </c>
      <c r="G40" t="s">
        <v>54</v>
      </c>
      <c r="H40" t="s">
        <v>54</v>
      </c>
      <c r="I40" t="s">
        <v>54</v>
      </c>
      <c r="J40" s="2">
        <v>12.005827999999999</v>
      </c>
      <c r="K40" s="2">
        <v>9.3272460000000006</v>
      </c>
      <c r="L40" s="2">
        <v>2.7099342000000002</v>
      </c>
      <c r="M40" s="2">
        <v>3.1588585</v>
      </c>
      <c r="N40" s="2">
        <v>8.0545980000000004</v>
      </c>
      <c r="O40" s="2">
        <v>2.6610303000000002</v>
      </c>
      <c r="P40" s="2">
        <v>10.487308000000001</v>
      </c>
      <c r="Q40" s="2">
        <v>8.0143360670000003</v>
      </c>
      <c r="R40" s="2">
        <v>4.6248289329999999</v>
      </c>
      <c r="S40" s="2">
        <v>48.404803000000001</v>
      </c>
      <c r="T40" s="2">
        <f t="shared" si="1"/>
        <v>1.6848884569523652</v>
      </c>
      <c r="U40">
        <v>0.90135764505517202</v>
      </c>
      <c r="V40">
        <v>0.70986685749230605</v>
      </c>
      <c r="W40" t="s">
        <v>196</v>
      </c>
      <c r="X40" t="s">
        <v>197</v>
      </c>
      <c r="AB40" s="6" t="b">
        <v>0</v>
      </c>
      <c r="AC40" t="s">
        <v>54</v>
      </c>
    </row>
    <row r="41" spans="1:29" x14ac:dyDescent="0.2">
      <c r="A41" t="s">
        <v>198</v>
      </c>
      <c r="B41" t="s">
        <v>199</v>
      </c>
      <c r="C41" t="s">
        <v>31</v>
      </c>
      <c r="D41" t="s">
        <v>200</v>
      </c>
      <c r="E41" t="s">
        <v>201</v>
      </c>
      <c r="F41" t="s">
        <v>202</v>
      </c>
      <c r="G41" t="s">
        <v>203</v>
      </c>
      <c r="H41" t="s">
        <v>203</v>
      </c>
      <c r="I41" t="s">
        <v>54</v>
      </c>
      <c r="J41" s="2">
        <v>2.7654939000000001</v>
      </c>
      <c r="K41" s="2">
        <v>2.2825890000000002</v>
      </c>
      <c r="L41" s="2">
        <v>2.9758441000000002</v>
      </c>
      <c r="M41" s="2">
        <v>3.6854119999999999</v>
      </c>
      <c r="N41" s="2">
        <v>3.4818083999999998</v>
      </c>
      <c r="O41" s="2">
        <v>2.4076588000000001</v>
      </c>
      <c r="P41" s="2">
        <v>7.4947900000000001</v>
      </c>
      <c r="Q41" s="2">
        <v>2.674642333</v>
      </c>
      <c r="R41" s="2">
        <v>3.1916264000000001</v>
      </c>
      <c r="S41" s="2">
        <v>25.0935962</v>
      </c>
      <c r="T41" s="2">
        <f t="shared" si="1"/>
        <v>1.3995629051527074</v>
      </c>
      <c r="U41">
        <v>0.61294807413568697</v>
      </c>
      <c r="V41">
        <v>0.673533835661144</v>
      </c>
      <c r="W41" t="s">
        <v>204</v>
      </c>
      <c r="X41" t="s">
        <v>205</v>
      </c>
      <c r="AB41" s="6" t="b">
        <v>0</v>
      </c>
      <c r="AC41" t="s">
        <v>203</v>
      </c>
    </row>
    <row r="42" spans="1:29" x14ac:dyDescent="0.2">
      <c r="A42" t="s">
        <v>206</v>
      </c>
      <c r="B42" t="s">
        <v>207</v>
      </c>
      <c r="C42" t="s">
        <v>31</v>
      </c>
      <c r="D42" t="s">
        <v>32</v>
      </c>
      <c r="E42" t="s">
        <v>120</v>
      </c>
      <c r="F42" t="s">
        <v>121</v>
      </c>
      <c r="G42" t="s">
        <v>122</v>
      </c>
      <c r="H42" t="s">
        <v>54</v>
      </c>
      <c r="I42" t="s">
        <v>54</v>
      </c>
      <c r="J42" s="2">
        <v>3.1030543000000002</v>
      </c>
      <c r="K42" s="2">
        <v>2.3925550000000002</v>
      </c>
      <c r="L42" s="2">
        <v>2.1288247</v>
      </c>
      <c r="M42" s="2">
        <v>1.9821091</v>
      </c>
      <c r="N42" s="2">
        <v>2.1576848000000002</v>
      </c>
      <c r="O42" s="2">
        <v>1.7674711999999999</v>
      </c>
      <c r="P42" s="2">
        <v>0.26042393000000003</v>
      </c>
      <c r="Q42" s="2">
        <v>2.5414780000000001</v>
      </c>
      <c r="R42" s="2">
        <v>1.9690883669999999</v>
      </c>
      <c r="S42" s="2">
        <v>13.792123030000001</v>
      </c>
      <c r="T42" s="2">
        <f t="shared" si="1"/>
        <v>1.1396311225389175</v>
      </c>
      <c r="U42">
        <v>4.7292788144718401</v>
      </c>
      <c r="V42">
        <v>4.0871169883210001</v>
      </c>
      <c r="W42" t="s">
        <v>196</v>
      </c>
      <c r="X42" t="s">
        <v>39</v>
      </c>
      <c r="AB42" s="6" t="b">
        <v>0</v>
      </c>
      <c r="AC42" t="s">
        <v>54</v>
      </c>
    </row>
    <row r="43" spans="1:29" x14ac:dyDescent="0.2">
      <c r="A43" t="s">
        <v>208</v>
      </c>
      <c r="B43" t="s">
        <v>209</v>
      </c>
      <c r="C43" t="s">
        <v>31</v>
      </c>
      <c r="D43" t="s">
        <v>111</v>
      </c>
      <c r="E43" t="s">
        <v>210</v>
      </c>
      <c r="F43" t="s">
        <v>211</v>
      </c>
      <c r="G43" t="s">
        <v>212</v>
      </c>
      <c r="H43" t="s">
        <v>213</v>
      </c>
      <c r="I43" t="s">
        <v>214</v>
      </c>
      <c r="J43" s="2">
        <v>3.4966924000000001</v>
      </c>
      <c r="K43" s="2">
        <v>3.450628</v>
      </c>
      <c r="L43" s="2">
        <v>3.4874537000000001</v>
      </c>
      <c r="M43" s="2">
        <v>4.7283929999999996</v>
      </c>
      <c r="N43" s="2">
        <v>3.4908853</v>
      </c>
      <c r="O43" s="2">
        <v>2.2282487999999998</v>
      </c>
      <c r="P43" s="2">
        <v>10.502338</v>
      </c>
      <c r="Q43" s="2">
        <v>3.4782580329999999</v>
      </c>
      <c r="R43" s="2">
        <v>3.4825090329999999</v>
      </c>
      <c r="S43" s="2">
        <v>31.384639199999999</v>
      </c>
      <c r="T43" s="2">
        <f t="shared" si="1"/>
        <v>1.4967171403357897</v>
      </c>
      <c r="U43">
        <v>0.61724828585366498</v>
      </c>
      <c r="V43">
        <v>0.61763176531084996</v>
      </c>
      <c r="W43" t="s">
        <v>215</v>
      </c>
      <c r="X43" t="s">
        <v>117</v>
      </c>
      <c r="AB43" s="6" t="b">
        <v>0</v>
      </c>
      <c r="AC43" t="s">
        <v>213</v>
      </c>
    </row>
    <row r="44" spans="1:29" x14ac:dyDescent="0.2">
      <c r="A44" t="s">
        <v>216</v>
      </c>
      <c r="B44" t="s">
        <v>217</v>
      </c>
      <c r="C44" t="s">
        <v>31</v>
      </c>
      <c r="D44" t="s">
        <v>111</v>
      </c>
      <c r="E44" t="s">
        <v>210</v>
      </c>
      <c r="F44" t="s">
        <v>211</v>
      </c>
      <c r="G44" t="s">
        <v>212</v>
      </c>
      <c r="H44" t="s">
        <v>218</v>
      </c>
      <c r="I44" t="s">
        <v>54</v>
      </c>
      <c r="J44" s="2">
        <v>2.1292355000000001</v>
      </c>
      <c r="K44" s="2">
        <v>2.2057376</v>
      </c>
      <c r="L44" s="2">
        <v>1.0045226</v>
      </c>
      <c r="M44" s="2">
        <v>0.75923514000000003</v>
      </c>
      <c r="N44" s="2">
        <v>1.7003931000000001</v>
      </c>
      <c r="O44" s="2">
        <v>0.84171485999999995</v>
      </c>
      <c r="P44" s="2">
        <v>2.5307512000000001</v>
      </c>
      <c r="Q44" s="2">
        <v>1.7798319</v>
      </c>
      <c r="R44" s="2">
        <v>1.1004476999999999</v>
      </c>
      <c r="S44" s="2">
        <v>11.17159</v>
      </c>
      <c r="T44" s="2">
        <f t="shared" si="1"/>
        <v>1.0481149886110499</v>
      </c>
      <c r="U44">
        <v>0.815490472112543</v>
      </c>
      <c r="V44">
        <v>0.60026065669303497</v>
      </c>
      <c r="W44" t="s">
        <v>219</v>
      </c>
      <c r="X44" t="s">
        <v>117</v>
      </c>
      <c r="AB44" s="6" t="b">
        <v>0</v>
      </c>
      <c r="AC44" t="s">
        <v>218</v>
      </c>
    </row>
    <row r="45" spans="1:29" x14ac:dyDescent="0.2">
      <c r="A45" t="s">
        <v>220</v>
      </c>
      <c r="B45" t="s">
        <v>221</v>
      </c>
      <c r="C45" t="s">
        <v>31</v>
      </c>
      <c r="D45" t="s">
        <v>222</v>
      </c>
      <c r="E45" t="s">
        <v>223</v>
      </c>
      <c r="F45" t="s">
        <v>224</v>
      </c>
      <c r="G45" t="s">
        <v>225</v>
      </c>
      <c r="H45" t="s">
        <v>54</v>
      </c>
      <c r="I45" t="s">
        <v>54</v>
      </c>
      <c r="J45" s="2">
        <v>2.0037014000000002</v>
      </c>
      <c r="K45" s="2">
        <v>1.4210364</v>
      </c>
      <c r="L45" s="2">
        <v>0.57956569999999996</v>
      </c>
      <c r="M45" s="2">
        <v>0.36209232000000002</v>
      </c>
      <c r="N45" s="2">
        <v>0.42201446999999997</v>
      </c>
      <c r="O45" s="2">
        <v>0.35469115000000001</v>
      </c>
      <c r="P45" s="2">
        <v>2.4805608000000001</v>
      </c>
      <c r="Q45" s="2">
        <v>1.3347678329999999</v>
      </c>
      <c r="R45" s="2">
        <v>0.37959931299999999</v>
      </c>
      <c r="S45" s="2">
        <v>7.6236622399999998</v>
      </c>
      <c r="T45" s="2">
        <f t="shared" si="1"/>
        <v>0.88216364700152006</v>
      </c>
      <c r="U45">
        <v>0.68896677753414404</v>
      </c>
      <c r="V45">
        <v>0.28331864040535698</v>
      </c>
      <c r="W45" t="s">
        <v>196</v>
      </c>
      <c r="X45" t="s">
        <v>226</v>
      </c>
      <c r="AB45" s="6" t="b">
        <v>0</v>
      </c>
      <c r="AC45" t="s">
        <v>54</v>
      </c>
    </row>
    <row r="46" spans="1:29" x14ac:dyDescent="0.2">
      <c r="A46" t="s">
        <v>227</v>
      </c>
      <c r="B46" t="s">
        <v>228</v>
      </c>
      <c r="C46" t="s">
        <v>31</v>
      </c>
      <c r="D46" t="s">
        <v>229</v>
      </c>
      <c r="E46" t="s">
        <v>230</v>
      </c>
      <c r="F46" t="s">
        <v>231</v>
      </c>
      <c r="G46" t="s">
        <v>54</v>
      </c>
      <c r="H46" t="s">
        <v>54</v>
      </c>
      <c r="I46" t="s">
        <v>54</v>
      </c>
      <c r="J46" s="2">
        <v>0.96041553999999996</v>
      </c>
      <c r="K46" s="2">
        <v>0.40002969999999999</v>
      </c>
      <c r="L46" s="2">
        <v>0</v>
      </c>
      <c r="M46" s="2">
        <v>0</v>
      </c>
      <c r="N46" s="2">
        <v>1.4722139000000001</v>
      </c>
      <c r="O46" s="2">
        <v>0.72961609999999999</v>
      </c>
      <c r="P46" s="2">
        <v>0</v>
      </c>
      <c r="Q46" s="2">
        <v>0.45348174699999999</v>
      </c>
      <c r="R46" s="2">
        <v>0.73394333300000003</v>
      </c>
      <c r="S46" s="2">
        <v>3.56227524</v>
      </c>
      <c r="T46" s="2">
        <f t="shared" si="1"/>
        <v>0.55172747228475494</v>
      </c>
      <c r="U46">
        <v>8.3579055323004603</v>
      </c>
      <c r="V46">
        <v>11.8635852019232</v>
      </c>
      <c r="W46" t="s">
        <v>196</v>
      </c>
      <c r="X46" t="s">
        <v>232</v>
      </c>
      <c r="AB46" s="6" t="b">
        <v>0</v>
      </c>
      <c r="AC46" t="s">
        <v>54</v>
      </c>
    </row>
    <row r="47" spans="1:29" x14ac:dyDescent="0.2">
      <c r="A47" t="s">
        <v>233</v>
      </c>
      <c r="B47" t="s">
        <v>234</v>
      </c>
      <c r="C47" t="s">
        <v>31</v>
      </c>
      <c r="D47" t="s">
        <v>111</v>
      </c>
      <c r="E47" t="s">
        <v>112</v>
      </c>
      <c r="F47" t="s">
        <v>235</v>
      </c>
      <c r="G47" t="s">
        <v>235</v>
      </c>
      <c r="H47" t="s">
        <v>235</v>
      </c>
      <c r="I47" t="s">
        <v>54</v>
      </c>
      <c r="J47" s="2">
        <v>2.1104853000000001</v>
      </c>
      <c r="K47" s="2">
        <v>2.6755867000000002</v>
      </c>
      <c r="L47" s="2">
        <v>0</v>
      </c>
      <c r="M47" s="2">
        <v>0</v>
      </c>
      <c r="N47" s="2">
        <v>0.40867900000000001</v>
      </c>
      <c r="O47" s="2">
        <v>0</v>
      </c>
      <c r="P47" s="2">
        <v>0</v>
      </c>
      <c r="Q47" s="2">
        <v>1.5953573329999999</v>
      </c>
      <c r="R47" s="2">
        <v>0.13622633300000001</v>
      </c>
      <c r="S47" s="2">
        <v>5.1947510000000001</v>
      </c>
      <c r="T47" s="2">
        <f t="shared" si="1"/>
        <v>0.71556473535466425</v>
      </c>
      <c r="U47">
        <v>19.938571027342999</v>
      </c>
      <c r="V47">
        <v>3.50023662645394</v>
      </c>
      <c r="W47" t="s">
        <v>236</v>
      </c>
      <c r="X47" t="s">
        <v>117</v>
      </c>
      <c r="AB47" s="6" t="b">
        <v>0</v>
      </c>
      <c r="AC47" t="s">
        <v>235</v>
      </c>
    </row>
    <row r="48" spans="1:29" x14ac:dyDescent="0.2">
      <c r="A48" t="s">
        <v>237</v>
      </c>
      <c r="B48" t="s">
        <v>238</v>
      </c>
      <c r="C48" t="s">
        <v>31</v>
      </c>
      <c r="D48" t="s">
        <v>193</v>
      </c>
      <c r="E48" t="s">
        <v>194</v>
      </c>
      <c r="F48" t="s">
        <v>239</v>
      </c>
      <c r="G48" t="s">
        <v>239</v>
      </c>
      <c r="H48" t="s">
        <v>239</v>
      </c>
      <c r="I48" t="s">
        <v>54</v>
      </c>
      <c r="J48" s="2">
        <v>7.5712260000000002</v>
      </c>
      <c r="K48" s="2">
        <v>5.2242949999999997</v>
      </c>
      <c r="L48" s="2">
        <v>2.4117587</v>
      </c>
      <c r="M48" s="2">
        <v>2.7386327000000001</v>
      </c>
      <c r="N48" s="2">
        <v>3.8769545999999999</v>
      </c>
      <c r="O48" s="2">
        <v>2.9488208</v>
      </c>
      <c r="P48" s="2">
        <v>12.374243999999999</v>
      </c>
      <c r="Q48" s="2">
        <v>5.0690932330000003</v>
      </c>
      <c r="R48" s="2">
        <v>3.1881360330000001</v>
      </c>
      <c r="S48" s="2">
        <v>37.1459318</v>
      </c>
      <c r="T48" s="2">
        <f t="shared" si="1"/>
        <v>1.5699112570318026</v>
      </c>
      <c r="U48">
        <v>0.69748573336014097</v>
      </c>
      <c r="V48">
        <v>0.55606041614443702</v>
      </c>
      <c r="W48" t="s">
        <v>240</v>
      </c>
      <c r="X48" t="s">
        <v>197</v>
      </c>
      <c r="AB48" s="6" t="b">
        <v>0</v>
      </c>
      <c r="AC48" t="s">
        <v>239</v>
      </c>
    </row>
    <row r="49" spans="1:29" x14ac:dyDescent="0.2">
      <c r="A49" t="s">
        <v>241</v>
      </c>
      <c r="B49" t="s">
        <v>242</v>
      </c>
      <c r="C49" t="s">
        <v>31</v>
      </c>
      <c r="D49" t="s">
        <v>32</v>
      </c>
      <c r="E49" t="s">
        <v>120</v>
      </c>
      <c r="F49" t="s">
        <v>121</v>
      </c>
      <c r="G49" t="s">
        <v>122</v>
      </c>
      <c r="H49" t="s">
        <v>243</v>
      </c>
      <c r="I49" t="s">
        <v>54</v>
      </c>
      <c r="J49" s="2">
        <v>1.6420625</v>
      </c>
      <c r="K49" s="2">
        <v>1.6574122</v>
      </c>
      <c r="L49" s="2">
        <v>0.22805681999999999</v>
      </c>
      <c r="M49" s="2">
        <v>0.15271377999999999</v>
      </c>
      <c r="N49" s="2">
        <v>1.2552372000000001</v>
      </c>
      <c r="O49" s="2">
        <v>0.47775304000000002</v>
      </c>
      <c r="P49" s="2">
        <v>0.72538709999999995</v>
      </c>
      <c r="Q49" s="2">
        <v>1.17584384</v>
      </c>
      <c r="R49" s="2">
        <v>0.62856800700000004</v>
      </c>
      <c r="S49" s="2">
        <v>6.1386226400000004</v>
      </c>
      <c r="T49" s="2">
        <f t="shared" si="1"/>
        <v>0.78807093678429541</v>
      </c>
      <c r="U49">
        <v>1.3939204405997401</v>
      </c>
      <c r="V49">
        <v>0.90230727388716203</v>
      </c>
      <c r="W49" t="s">
        <v>244</v>
      </c>
      <c r="X49" t="s">
        <v>39</v>
      </c>
      <c r="AB49" s="6" t="b">
        <v>0</v>
      </c>
      <c r="AC49" t="s">
        <v>243</v>
      </c>
    </row>
    <row r="50" spans="1:29" x14ac:dyDescent="0.2">
      <c r="A50" t="s">
        <v>245</v>
      </c>
      <c r="B50" t="s">
        <v>246</v>
      </c>
      <c r="C50" t="s">
        <v>31</v>
      </c>
      <c r="D50" t="s">
        <v>111</v>
      </c>
      <c r="E50" t="s">
        <v>247</v>
      </c>
      <c r="F50" t="s">
        <v>248</v>
      </c>
      <c r="G50" t="s">
        <v>249</v>
      </c>
      <c r="H50" t="s">
        <v>250</v>
      </c>
      <c r="I50" t="s">
        <v>54</v>
      </c>
      <c r="J50" s="2">
        <v>1.8579939999999999</v>
      </c>
      <c r="K50" s="2">
        <v>2.1280432</v>
      </c>
      <c r="L50" s="2">
        <v>1.6794373</v>
      </c>
      <c r="M50" s="2">
        <v>3.1137803000000002</v>
      </c>
      <c r="N50" s="2">
        <v>2.6431053000000002</v>
      </c>
      <c r="O50" s="2">
        <v>4.0744730000000002</v>
      </c>
      <c r="P50" s="2">
        <v>2.0222913999999999</v>
      </c>
      <c r="Q50" s="2">
        <v>1.8884915</v>
      </c>
      <c r="R50" s="2">
        <v>3.277119533</v>
      </c>
      <c r="S50" s="2">
        <v>17.5191245</v>
      </c>
      <c r="T50" s="2">
        <f t="shared" si="1"/>
        <v>1.243512398959949</v>
      </c>
      <c r="U50">
        <v>0.96032931734196103</v>
      </c>
      <c r="V50">
        <v>1.3051240169962799</v>
      </c>
      <c r="W50" t="s">
        <v>251</v>
      </c>
      <c r="X50" t="s">
        <v>117</v>
      </c>
      <c r="AB50" s="6" t="b">
        <v>0</v>
      </c>
      <c r="AC50" t="s">
        <v>252</v>
      </c>
    </row>
    <row r="51" spans="1:29" x14ac:dyDescent="0.2">
      <c r="A51" t="s">
        <v>253</v>
      </c>
      <c r="B51" t="s">
        <v>254</v>
      </c>
      <c r="C51" t="s">
        <v>31</v>
      </c>
      <c r="D51" t="s">
        <v>222</v>
      </c>
      <c r="E51" t="s">
        <v>223</v>
      </c>
      <c r="F51" t="s">
        <v>224</v>
      </c>
      <c r="G51" t="s">
        <v>255</v>
      </c>
      <c r="H51" t="s">
        <v>54</v>
      </c>
      <c r="I51" t="s">
        <v>54</v>
      </c>
      <c r="J51" s="2">
        <v>0.13290215999999999</v>
      </c>
      <c r="K51" s="2">
        <v>0.19328202</v>
      </c>
      <c r="L51" s="2">
        <v>0.49432680000000001</v>
      </c>
      <c r="M51" s="2">
        <v>0.61582756000000005</v>
      </c>
      <c r="N51" s="2">
        <v>0.5875823</v>
      </c>
      <c r="O51" s="2">
        <v>0.47774445999999998</v>
      </c>
      <c r="P51" s="2">
        <v>1.8003488000000001</v>
      </c>
      <c r="Q51" s="2">
        <v>0.27350365999999998</v>
      </c>
      <c r="R51" s="2">
        <v>0.560384773</v>
      </c>
      <c r="S51" s="2">
        <v>4.3020141000000001</v>
      </c>
      <c r="T51" s="2">
        <f t="shared" si="1"/>
        <v>0.63367182946896117</v>
      </c>
      <c r="U51">
        <v>0.26758777662014999</v>
      </c>
      <c r="V51">
        <v>0.45489241906669797</v>
      </c>
      <c r="W51" t="s">
        <v>196</v>
      </c>
      <c r="X51" t="s">
        <v>226</v>
      </c>
      <c r="AB51" s="6" t="b">
        <v>0</v>
      </c>
      <c r="AC51" t="s">
        <v>54</v>
      </c>
    </row>
    <row r="52" spans="1:29" x14ac:dyDescent="0.2">
      <c r="A52" t="s">
        <v>256</v>
      </c>
      <c r="B52" t="s">
        <v>257</v>
      </c>
      <c r="C52" t="s">
        <v>31</v>
      </c>
      <c r="D52" t="s">
        <v>222</v>
      </c>
      <c r="E52" t="s">
        <v>223</v>
      </c>
      <c r="F52" t="s">
        <v>224</v>
      </c>
      <c r="G52" t="s">
        <v>258</v>
      </c>
      <c r="H52" t="s">
        <v>54</v>
      </c>
      <c r="I52" t="s">
        <v>54</v>
      </c>
      <c r="J52" s="2">
        <v>0.23954642000000001</v>
      </c>
      <c r="K52" s="2">
        <v>0.12703316000000001</v>
      </c>
      <c r="L52" s="2">
        <v>0.16118869999999999</v>
      </c>
      <c r="M52" s="2">
        <v>0.18158041</v>
      </c>
      <c r="N52" s="2">
        <v>0.18318397</v>
      </c>
      <c r="O52" s="2">
        <v>7.4003250000000007E-2</v>
      </c>
      <c r="P52" s="2">
        <v>6.7461890000000002</v>
      </c>
      <c r="Q52" s="2">
        <v>0.17592276000000001</v>
      </c>
      <c r="R52" s="2">
        <v>0.14625587700000001</v>
      </c>
      <c r="S52" s="2">
        <v>7.7127249100000004</v>
      </c>
      <c r="T52" s="2">
        <f t="shared" si="1"/>
        <v>0.88720784164392164</v>
      </c>
      <c r="U52">
        <v>9.9186969185208196E-2</v>
      </c>
      <c r="V52">
        <v>8.7258239406303298E-2</v>
      </c>
      <c r="W52" t="s">
        <v>196</v>
      </c>
      <c r="X52" t="s">
        <v>226</v>
      </c>
      <c r="AB52" s="6" t="b">
        <v>0</v>
      </c>
      <c r="AC52" t="s">
        <v>54</v>
      </c>
    </row>
    <row r="53" spans="1:29" x14ac:dyDescent="0.2">
      <c r="A53" t="s">
        <v>259</v>
      </c>
      <c r="B53" t="s">
        <v>260</v>
      </c>
      <c r="C53" t="s">
        <v>31</v>
      </c>
      <c r="D53" t="s">
        <v>222</v>
      </c>
      <c r="E53" t="s">
        <v>261</v>
      </c>
      <c r="F53" t="s">
        <v>262</v>
      </c>
      <c r="G53" t="s">
        <v>263</v>
      </c>
      <c r="H53" t="s">
        <v>264</v>
      </c>
      <c r="I53" t="s">
        <v>54</v>
      </c>
      <c r="J53" s="2">
        <v>3.3229791999999998</v>
      </c>
      <c r="K53" s="2">
        <v>2.9947849999999998</v>
      </c>
      <c r="L53" s="2">
        <v>5.3601979999999996</v>
      </c>
      <c r="M53" s="2">
        <v>5.8547034</v>
      </c>
      <c r="N53" s="2">
        <v>3.1024284</v>
      </c>
      <c r="O53" s="2">
        <v>2.8126215999999999</v>
      </c>
      <c r="P53" s="2">
        <v>37.040289999999999</v>
      </c>
      <c r="Q53" s="2">
        <v>3.8926540670000001</v>
      </c>
      <c r="R53" s="2">
        <v>3.9232511329999999</v>
      </c>
      <c r="S53" s="2">
        <v>60.488005600000001</v>
      </c>
      <c r="T53" s="2">
        <f t="shared" si="1"/>
        <v>1.7816692652612947</v>
      </c>
      <c r="U53">
        <v>0.43898908600014402</v>
      </c>
      <c r="V53">
        <v>0.440684525325794</v>
      </c>
      <c r="W53" t="s">
        <v>264</v>
      </c>
      <c r="X53" t="s">
        <v>226</v>
      </c>
      <c r="AA53" s="6">
        <v>17</v>
      </c>
      <c r="AB53" s="6" t="b">
        <v>1</v>
      </c>
      <c r="AC53" t="s">
        <v>265</v>
      </c>
    </row>
    <row r="54" spans="1:29" x14ac:dyDescent="0.2">
      <c r="A54" t="s">
        <v>266</v>
      </c>
      <c r="B54" t="s">
        <v>267</v>
      </c>
      <c r="C54" t="s">
        <v>31</v>
      </c>
      <c r="D54" t="s">
        <v>111</v>
      </c>
      <c r="E54" t="s">
        <v>112</v>
      </c>
      <c r="F54" t="s">
        <v>113</v>
      </c>
      <c r="G54" t="s">
        <v>114</v>
      </c>
      <c r="H54" t="s">
        <v>268</v>
      </c>
      <c r="I54" t="s">
        <v>54</v>
      </c>
      <c r="J54" s="2">
        <v>18.492751999999999</v>
      </c>
      <c r="K54" s="2">
        <v>13.286291</v>
      </c>
      <c r="L54" s="2">
        <v>3.0287616000000002</v>
      </c>
      <c r="M54" s="2">
        <v>2.3330464000000002</v>
      </c>
      <c r="N54" s="2">
        <v>9.3079780000000003</v>
      </c>
      <c r="O54" s="2">
        <v>1.3449793999999999</v>
      </c>
      <c r="P54" s="2">
        <v>10.662426</v>
      </c>
      <c r="Q54" s="2">
        <v>11.602601529999999</v>
      </c>
      <c r="R54" s="2">
        <v>4.3286679330000002</v>
      </c>
      <c r="S54" s="2">
        <v>58.4562344</v>
      </c>
      <c r="T54" s="2">
        <f t="shared" si="1"/>
        <v>1.7668308357909457</v>
      </c>
      <c r="U54">
        <v>1.0313789074948001</v>
      </c>
      <c r="V54">
        <v>0.68373824888653001</v>
      </c>
      <c r="W54" t="s">
        <v>269</v>
      </c>
      <c r="X54" t="s">
        <v>117</v>
      </c>
      <c r="AB54" s="6" t="b">
        <v>0</v>
      </c>
      <c r="AC54" t="s">
        <v>268</v>
      </c>
    </row>
    <row r="55" spans="1:29" ht="16" customHeight="1" x14ac:dyDescent="0.2">
      <c r="A55" t="s">
        <v>270</v>
      </c>
      <c r="B55" t="s">
        <v>271</v>
      </c>
      <c r="C55" t="s">
        <v>31</v>
      </c>
      <c r="D55" t="s">
        <v>272</v>
      </c>
      <c r="E55" t="s">
        <v>273</v>
      </c>
      <c r="F55" t="s">
        <v>274</v>
      </c>
      <c r="G55" t="s">
        <v>275</v>
      </c>
      <c r="H55" s="3" t="s">
        <v>276</v>
      </c>
      <c r="I55" t="s">
        <v>54</v>
      </c>
      <c r="J55" s="2">
        <v>1.4380759999999999</v>
      </c>
      <c r="K55" s="2">
        <v>0.86180140000000005</v>
      </c>
      <c r="L55" s="2">
        <v>0.31904712000000002</v>
      </c>
      <c r="M55" s="2">
        <v>0.16825286</v>
      </c>
      <c r="N55" s="2">
        <v>0.70531449999999996</v>
      </c>
      <c r="O55" s="2">
        <v>0.43320784000000001</v>
      </c>
      <c r="P55" s="2">
        <v>2.5361322999999998</v>
      </c>
      <c r="Q55" s="2">
        <v>0.87297484000000003</v>
      </c>
      <c r="R55" s="2">
        <v>0.43559173299999998</v>
      </c>
      <c r="S55" s="2">
        <v>6.4618320200000001</v>
      </c>
      <c r="T55" s="2">
        <f t="shared" si="1"/>
        <v>0.81035566402899573</v>
      </c>
      <c r="U55">
        <v>0.51200889344790101</v>
      </c>
      <c r="V55">
        <v>0.309937468956205</v>
      </c>
      <c r="W55" t="s">
        <v>277</v>
      </c>
      <c r="X55" t="s">
        <v>278</v>
      </c>
      <c r="AA55" s="6">
        <f>207/11</f>
        <v>18.818181818181817</v>
      </c>
      <c r="AB55" s="6" t="b">
        <v>0</v>
      </c>
      <c r="AC55" t="s">
        <v>279</v>
      </c>
    </row>
    <row r="56" spans="1:29" x14ac:dyDescent="0.2">
      <c r="A56" t="s">
        <v>280</v>
      </c>
      <c r="B56" t="s">
        <v>281</v>
      </c>
      <c r="C56" t="s">
        <v>31</v>
      </c>
      <c r="D56" t="s">
        <v>32</v>
      </c>
      <c r="E56" t="s">
        <v>120</v>
      </c>
      <c r="F56" t="s">
        <v>121</v>
      </c>
      <c r="G56" t="s">
        <v>122</v>
      </c>
      <c r="H56" t="s">
        <v>282</v>
      </c>
      <c r="I56" t="s">
        <v>283</v>
      </c>
      <c r="J56" s="2">
        <v>1.8016163000000001</v>
      </c>
      <c r="K56" s="2">
        <v>1.4691563000000001</v>
      </c>
      <c r="L56" s="2">
        <v>1.3996173000000001</v>
      </c>
      <c r="M56" s="2">
        <v>1.7294415000000001</v>
      </c>
      <c r="N56" s="2">
        <v>1.591907</v>
      </c>
      <c r="O56" s="2">
        <v>1.2753745000000001</v>
      </c>
      <c r="P56" s="2">
        <v>0.19607173999999999</v>
      </c>
      <c r="Q56" s="2">
        <v>1.556796633</v>
      </c>
      <c r="R56" s="2">
        <v>1.532241</v>
      </c>
      <c r="S56" s="2">
        <v>9.4631846399999997</v>
      </c>
      <c r="T56" s="2">
        <f t="shared" si="1"/>
        <v>0.97603731386802983</v>
      </c>
      <c r="U56">
        <v>4.35517984799354</v>
      </c>
      <c r="V56">
        <v>4.3121586225869502</v>
      </c>
      <c r="W56" t="s">
        <v>284</v>
      </c>
      <c r="X56" t="s">
        <v>39</v>
      </c>
      <c r="AB56" s="6" t="b">
        <v>0</v>
      </c>
      <c r="AC56" t="s">
        <v>282</v>
      </c>
    </row>
    <row r="57" spans="1:29" x14ac:dyDescent="0.2">
      <c r="A57" t="s">
        <v>285</v>
      </c>
      <c r="B57" t="s">
        <v>286</v>
      </c>
      <c r="C57" t="s">
        <v>31</v>
      </c>
      <c r="D57" t="s">
        <v>32</v>
      </c>
      <c r="E57" t="s">
        <v>33</v>
      </c>
      <c r="F57" t="s">
        <v>57</v>
      </c>
      <c r="G57" t="s">
        <v>287</v>
      </c>
      <c r="H57" t="s">
        <v>288</v>
      </c>
      <c r="I57" t="s">
        <v>289</v>
      </c>
      <c r="J57" s="2">
        <v>30.58325</v>
      </c>
      <c r="K57" s="2">
        <v>29.974603999999999</v>
      </c>
      <c r="L57" s="2">
        <v>49.699019999999997</v>
      </c>
      <c r="M57" s="2">
        <v>46.924045999999997</v>
      </c>
      <c r="N57" s="2">
        <v>44.934739999999998</v>
      </c>
      <c r="O57" s="2">
        <v>44.904926000000003</v>
      </c>
      <c r="P57" s="2">
        <v>5.9899006000000004</v>
      </c>
      <c r="Q57" s="2">
        <v>36.752291329999998</v>
      </c>
      <c r="R57" s="2">
        <v>45.587904000000002</v>
      </c>
      <c r="S57" s="2">
        <v>253.01048660000001</v>
      </c>
      <c r="T57" s="2">
        <f t="shared" si="1"/>
        <v>2.4031385218798951</v>
      </c>
      <c r="U57">
        <v>1.86123221506253</v>
      </c>
      <c r="V57">
        <v>1.9688590460633699</v>
      </c>
      <c r="W57" t="s">
        <v>290</v>
      </c>
      <c r="X57" t="s">
        <v>39</v>
      </c>
      <c r="Y57">
        <v>22</v>
      </c>
      <c r="Z57">
        <v>34466</v>
      </c>
      <c r="AB57" s="6" t="b">
        <v>0</v>
      </c>
      <c r="AC57" t="s">
        <v>288</v>
      </c>
    </row>
    <row r="58" spans="1:29" x14ac:dyDescent="0.2">
      <c r="A58" t="s">
        <v>291</v>
      </c>
      <c r="B58" t="s">
        <v>292</v>
      </c>
      <c r="C58" t="s">
        <v>31</v>
      </c>
      <c r="D58" t="s">
        <v>32</v>
      </c>
      <c r="E58" t="s">
        <v>120</v>
      </c>
      <c r="F58" t="s">
        <v>293</v>
      </c>
      <c r="G58" t="s">
        <v>294</v>
      </c>
      <c r="H58" t="s">
        <v>295</v>
      </c>
      <c r="I58" t="s">
        <v>296</v>
      </c>
      <c r="J58" s="2">
        <v>0.9972027</v>
      </c>
      <c r="K58" s="2">
        <v>2.0125256</v>
      </c>
      <c r="L58" s="2">
        <v>1.6141485000000001E-2</v>
      </c>
      <c r="M58" s="2">
        <v>0</v>
      </c>
      <c r="N58" s="2">
        <v>1.4313018</v>
      </c>
      <c r="O58" s="2">
        <v>0</v>
      </c>
      <c r="P58" s="2">
        <v>0</v>
      </c>
      <c r="Q58" s="2">
        <v>1.008623262</v>
      </c>
      <c r="R58" s="2">
        <v>0.47710059999999999</v>
      </c>
      <c r="S58" s="2">
        <v>4.4571715850000002</v>
      </c>
      <c r="T58" s="2">
        <f t="shared" si="1"/>
        <v>0.64905935317621766</v>
      </c>
      <c r="U58">
        <v>14.798831941857101</v>
      </c>
      <c r="V58">
        <v>8.6773822569703398</v>
      </c>
      <c r="W58" t="s">
        <v>297</v>
      </c>
      <c r="X58" t="s">
        <v>39</v>
      </c>
      <c r="AB58" s="6" t="b">
        <v>0</v>
      </c>
      <c r="AC58" t="s">
        <v>295</v>
      </c>
    </row>
    <row r="59" spans="1:29" x14ac:dyDescent="0.2">
      <c r="A59" t="s">
        <v>298</v>
      </c>
      <c r="B59" t="s">
        <v>260</v>
      </c>
      <c r="C59" t="s">
        <v>31</v>
      </c>
      <c r="D59" t="s">
        <v>222</v>
      </c>
      <c r="E59" t="s">
        <v>261</v>
      </c>
      <c r="F59" t="s">
        <v>262</v>
      </c>
      <c r="G59" t="s">
        <v>263</v>
      </c>
      <c r="H59" t="s">
        <v>264</v>
      </c>
      <c r="I59" t="s">
        <v>54</v>
      </c>
      <c r="J59" s="2">
        <v>3.0830150000000001</v>
      </c>
      <c r="K59" s="2">
        <v>6.2314204999999996</v>
      </c>
      <c r="L59" s="2">
        <v>11.436642000000001</v>
      </c>
      <c r="M59" s="2">
        <v>7.5971612999999998</v>
      </c>
      <c r="N59" s="2">
        <v>5.628088</v>
      </c>
      <c r="O59" s="2">
        <v>2.6526752</v>
      </c>
      <c r="P59" s="2">
        <v>19.195170999999998</v>
      </c>
      <c r="Q59" s="2">
        <v>6.9170258330000003</v>
      </c>
      <c r="R59" s="2">
        <v>5.2926415000000002</v>
      </c>
      <c r="S59" s="2">
        <v>55.824173000000002</v>
      </c>
      <c r="T59" s="2">
        <f t="shared" si="1"/>
        <v>1.7468222979916279</v>
      </c>
      <c r="U59">
        <v>0.68994980201674705</v>
      </c>
      <c r="V59">
        <v>0.61414452407701203</v>
      </c>
      <c r="W59" t="s">
        <v>264</v>
      </c>
      <c r="X59" t="s">
        <v>226</v>
      </c>
      <c r="AA59" s="6">
        <v>17</v>
      </c>
      <c r="AB59" s="6" t="b">
        <v>1</v>
      </c>
      <c r="AC59" t="s">
        <v>265</v>
      </c>
    </row>
    <row r="60" spans="1:29" x14ac:dyDescent="0.2">
      <c r="A60" t="s">
        <v>299</v>
      </c>
      <c r="B60" t="s">
        <v>300</v>
      </c>
      <c r="C60" t="s">
        <v>31</v>
      </c>
      <c r="D60" t="s">
        <v>111</v>
      </c>
      <c r="E60" t="s">
        <v>112</v>
      </c>
      <c r="F60" t="s">
        <v>301</v>
      </c>
      <c r="G60" t="s">
        <v>302</v>
      </c>
      <c r="H60" t="s">
        <v>303</v>
      </c>
      <c r="I60" t="s">
        <v>54</v>
      </c>
      <c r="J60" s="2">
        <v>0.6330017</v>
      </c>
      <c r="K60" s="2">
        <v>1.1197558999999999</v>
      </c>
      <c r="L60" s="2">
        <v>0.31143722000000001</v>
      </c>
      <c r="M60" s="2">
        <v>0.40554377000000003</v>
      </c>
      <c r="N60" s="2">
        <v>1.2233428</v>
      </c>
      <c r="O60" s="2">
        <v>0.39144400000000001</v>
      </c>
      <c r="P60" s="2">
        <v>0.33850330000000001</v>
      </c>
      <c r="Q60" s="2">
        <v>0.68806493999999996</v>
      </c>
      <c r="R60" s="2">
        <v>0.67344352299999999</v>
      </c>
      <c r="S60" s="2">
        <v>4.4230286899999998</v>
      </c>
      <c r="T60" s="2">
        <f t="shared" si="1"/>
        <v>0.64571975643229318</v>
      </c>
      <c r="U60">
        <v>1.68411920392773</v>
      </c>
      <c r="V60">
        <v>1.65838071011709</v>
      </c>
      <c r="W60" t="s">
        <v>304</v>
      </c>
      <c r="X60" t="s">
        <v>117</v>
      </c>
      <c r="AB60" s="6" t="b">
        <v>0</v>
      </c>
      <c r="AC60" t="s">
        <v>303</v>
      </c>
    </row>
    <row r="61" spans="1:29" x14ac:dyDescent="0.2">
      <c r="A61" t="s">
        <v>305</v>
      </c>
      <c r="B61" t="s">
        <v>306</v>
      </c>
      <c r="C61" t="s">
        <v>31</v>
      </c>
      <c r="D61" t="s">
        <v>307</v>
      </c>
      <c r="E61" t="s">
        <v>308</v>
      </c>
      <c r="F61" t="s">
        <v>309</v>
      </c>
      <c r="G61" t="s">
        <v>309</v>
      </c>
      <c r="H61" t="s">
        <v>310</v>
      </c>
      <c r="I61" t="s">
        <v>54</v>
      </c>
      <c r="J61" s="2">
        <v>0.65834342999999995</v>
      </c>
      <c r="K61" s="2">
        <v>1.0640909999999999</v>
      </c>
      <c r="L61" s="2">
        <v>0.111591935</v>
      </c>
      <c r="M61" s="2">
        <v>0</v>
      </c>
      <c r="N61" s="2">
        <v>5.2236000000000002</v>
      </c>
      <c r="O61" s="2">
        <v>4.8016871999999999</v>
      </c>
      <c r="P61" s="2">
        <v>0</v>
      </c>
      <c r="Q61" s="2">
        <v>0.61134212200000004</v>
      </c>
      <c r="R61" s="2">
        <v>3.3417623999999999</v>
      </c>
      <c r="S61" s="2">
        <v>11.859313565000001</v>
      </c>
      <c r="T61" s="2">
        <f t="shared" si="1"/>
        <v>1.0740595521344671</v>
      </c>
      <c r="U61">
        <v>10.4042647032022</v>
      </c>
      <c r="V61">
        <v>30.3284612702796</v>
      </c>
      <c r="W61" t="s">
        <v>311</v>
      </c>
      <c r="X61" t="s">
        <v>312</v>
      </c>
      <c r="AB61" s="6" t="b">
        <v>0</v>
      </c>
      <c r="AC61" t="s">
        <v>310</v>
      </c>
    </row>
    <row r="62" spans="1:29" x14ac:dyDescent="0.2">
      <c r="A62" t="s">
        <v>313</v>
      </c>
      <c r="B62" t="s">
        <v>314</v>
      </c>
      <c r="C62" t="s">
        <v>31</v>
      </c>
      <c r="D62" t="s">
        <v>193</v>
      </c>
      <c r="E62" t="s">
        <v>194</v>
      </c>
      <c r="F62" t="s">
        <v>315</v>
      </c>
      <c r="G62" t="s">
        <v>316</v>
      </c>
      <c r="H62" t="s">
        <v>317</v>
      </c>
      <c r="I62" t="s">
        <v>54</v>
      </c>
      <c r="J62" s="2">
        <v>4.4041758</v>
      </c>
      <c r="K62" s="2">
        <v>1.8875773</v>
      </c>
      <c r="L62" s="2">
        <v>0.39475805000000003</v>
      </c>
      <c r="M62" s="2">
        <v>0.40069807000000002</v>
      </c>
      <c r="N62" s="2">
        <v>2.2547693</v>
      </c>
      <c r="O62" s="2">
        <v>1.3461869</v>
      </c>
      <c r="P62" s="2">
        <v>1.5068368999999999</v>
      </c>
      <c r="Q62" s="2">
        <v>2.2288370500000001</v>
      </c>
      <c r="R62" s="2">
        <v>1.3338847570000001</v>
      </c>
      <c r="S62" s="2">
        <v>12.19500232</v>
      </c>
      <c r="T62" s="2">
        <f t="shared" si="1"/>
        <v>1.08618188727075</v>
      </c>
      <c r="U62">
        <v>1.26493992382488</v>
      </c>
      <c r="V62">
        <v>0.92539234002946102</v>
      </c>
      <c r="W62" t="s">
        <v>318</v>
      </c>
      <c r="X62" t="s">
        <v>197</v>
      </c>
      <c r="AB62" s="6" t="b">
        <v>0</v>
      </c>
      <c r="AC62" t="s">
        <v>317</v>
      </c>
    </row>
    <row r="63" spans="1:29" x14ac:dyDescent="0.2">
      <c r="A63" t="s">
        <v>319</v>
      </c>
      <c r="B63" t="s">
        <v>320</v>
      </c>
      <c r="C63" t="s">
        <v>31</v>
      </c>
      <c r="D63" t="s">
        <v>321</v>
      </c>
      <c r="E63" t="s">
        <v>322</v>
      </c>
      <c r="F63" t="s">
        <v>323</v>
      </c>
      <c r="G63" t="s">
        <v>324</v>
      </c>
      <c r="H63" t="s">
        <v>325</v>
      </c>
      <c r="I63" t="s">
        <v>54</v>
      </c>
      <c r="J63" s="2">
        <v>0.1277739</v>
      </c>
      <c r="K63" s="2">
        <v>0.22751129</v>
      </c>
      <c r="L63" s="2">
        <v>0</v>
      </c>
      <c r="M63" s="2">
        <v>0</v>
      </c>
      <c r="N63" s="2">
        <v>0.29245241999999999</v>
      </c>
      <c r="O63" s="2">
        <v>2.6097733999999999</v>
      </c>
      <c r="P63" s="2">
        <v>0</v>
      </c>
      <c r="Q63" s="2">
        <v>0.118428397</v>
      </c>
      <c r="R63" s="2">
        <v>0.96740860699999998</v>
      </c>
      <c r="S63" s="2">
        <v>3.25751101</v>
      </c>
      <c r="T63" s="2">
        <f t="shared" si="1"/>
        <v>0.51288589225082803</v>
      </c>
      <c r="U63">
        <v>3.1903888429685301</v>
      </c>
      <c r="V63">
        <v>14.3843299558248</v>
      </c>
      <c r="W63" t="s">
        <v>326</v>
      </c>
      <c r="X63" t="s">
        <v>327</v>
      </c>
      <c r="AB63" s="6" t="b">
        <v>0</v>
      </c>
      <c r="AC63" t="s">
        <v>325</v>
      </c>
    </row>
    <row r="64" spans="1:29" x14ac:dyDescent="0.2">
      <c r="A64" t="s">
        <v>328</v>
      </c>
      <c r="B64" t="s">
        <v>329</v>
      </c>
      <c r="C64" t="s">
        <v>31</v>
      </c>
      <c r="D64" t="s">
        <v>32</v>
      </c>
      <c r="E64" t="s">
        <v>33</v>
      </c>
      <c r="F64" t="s">
        <v>57</v>
      </c>
      <c r="G64" t="s">
        <v>287</v>
      </c>
      <c r="H64" t="s">
        <v>288</v>
      </c>
      <c r="I64" t="s">
        <v>54</v>
      </c>
      <c r="J64" s="2">
        <v>1.9998803999999999</v>
      </c>
      <c r="K64" s="2">
        <v>1.0948665</v>
      </c>
      <c r="L64" s="2">
        <v>1.0780885</v>
      </c>
      <c r="M64" s="2">
        <v>0.56883899999999998</v>
      </c>
      <c r="N64" s="2">
        <v>2.8931382000000001</v>
      </c>
      <c r="O64" s="2">
        <v>2.0152546999999998</v>
      </c>
      <c r="P64" s="2">
        <v>8.7588034999999995E-2</v>
      </c>
      <c r="Q64" s="2">
        <v>1.390945133</v>
      </c>
      <c r="R64" s="2">
        <v>1.825743967</v>
      </c>
      <c r="S64" s="2">
        <v>9.7376553349999995</v>
      </c>
      <c r="T64" s="2">
        <f t="shared" si="1"/>
        <v>0.9884543985979789</v>
      </c>
      <c r="U64">
        <v>6.9225312111351096</v>
      </c>
      <c r="V64">
        <v>8.1941607551462408</v>
      </c>
      <c r="W64" t="s">
        <v>290</v>
      </c>
      <c r="X64" t="s">
        <v>39</v>
      </c>
      <c r="Y64">
        <v>22</v>
      </c>
      <c r="Z64">
        <v>34466</v>
      </c>
      <c r="AB64" s="6" t="b">
        <v>0</v>
      </c>
      <c r="AC64" t="s">
        <v>288</v>
      </c>
    </row>
    <row r="65" spans="1:29" x14ac:dyDescent="0.2">
      <c r="A65" t="s">
        <v>330</v>
      </c>
      <c r="B65" t="s">
        <v>331</v>
      </c>
      <c r="C65" t="s">
        <v>31</v>
      </c>
      <c r="D65" t="s">
        <v>272</v>
      </c>
      <c r="E65" t="s">
        <v>273</v>
      </c>
      <c r="F65" t="s">
        <v>332</v>
      </c>
      <c r="G65" t="s">
        <v>333</v>
      </c>
      <c r="H65" t="s">
        <v>334</v>
      </c>
      <c r="I65" t="s">
        <v>54</v>
      </c>
      <c r="J65" s="2">
        <v>0.21035564000000001</v>
      </c>
      <c r="K65" s="2">
        <v>0.17801918</v>
      </c>
      <c r="L65" s="2">
        <v>9.7349464999999996E-2</v>
      </c>
      <c r="M65" s="2">
        <v>6.7591129999999999E-2</v>
      </c>
      <c r="N65" s="2">
        <v>0.13982014000000001</v>
      </c>
      <c r="O65" s="2">
        <v>8.909156E-2</v>
      </c>
      <c r="P65" s="2">
        <v>3.0700628999999999</v>
      </c>
      <c r="Q65" s="2">
        <v>0.161908095</v>
      </c>
      <c r="R65" s="2">
        <v>9.8834276999999998E-2</v>
      </c>
      <c r="S65" s="2">
        <v>3.8522900149999999</v>
      </c>
      <c r="T65" s="2">
        <f t="shared" si="1"/>
        <v>0.58571897501869141</v>
      </c>
      <c r="U65">
        <v>0.13574429054265799</v>
      </c>
      <c r="V65">
        <v>9.7994808786790302E-2</v>
      </c>
      <c r="W65" t="s">
        <v>196</v>
      </c>
      <c r="X65" t="s">
        <v>278</v>
      </c>
      <c r="AA65" s="6">
        <f>(207+70)/11</f>
        <v>25.181818181818183</v>
      </c>
      <c r="AB65" s="6" t="b">
        <v>0</v>
      </c>
      <c r="AC65" t="s">
        <v>54</v>
      </c>
    </row>
    <row r="66" spans="1:29" x14ac:dyDescent="0.2">
      <c r="A66" t="s">
        <v>335</v>
      </c>
      <c r="B66" t="s">
        <v>336</v>
      </c>
      <c r="C66" t="s">
        <v>31</v>
      </c>
      <c r="D66" t="s">
        <v>272</v>
      </c>
      <c r="E66" t="s">
        <v>273</v>
      </c>
      <c r="F66" t="s">
        <v>332</v>
      </c>
      <c r="G66" t="s">
        <v>337</v>
      </c>
      <c r="H66" t="s">
        <v>338</v>
      </c>
      <c r="I66" t="s">
        <v>54</v>
      </c>
      <c r="J66" s="2">
        <v>0.29492459999999998</v>
      </c>
      <c r="K66" s="2">
        <v>0.25309369999999998</v>
      </c>
      <c r="L66" s="2">
        <v>0.15898446999999999</v>
      </c>
      <c r="M66" s="2">
        <v>0.22326629000000001</v>
      </c>
      <c r="N66" s="2">
        <v>0.27954108</v>
      </c>
      <c r="O66" s="2">
        <v>0.20443143999999999</v>
      </c>
      <c r="P66" s="2">
        <v>1.1237457</v>
      </c>
      <c r="Q66" s="2">
        <v>0.23566759000000001</v>
      </c>
      <c r="R66" s="2">
        <v>0.23574627000000001</v>
      </c>
      <c r="S66" s="2">
        <v>2.5379872799999998</v>
      </c>
      <c r="T66" s="2">
        <f t="shared" si="1"/>
        <v>0.4044894411473175</v>
      </c>
      <c r="U66">
        <v>0.32362357324692598</v>
      </c>
      <c r="V66">
        <v>0.32370238806197299</v>
      </c>
      <c r="W66" t="s">
        <v>339</v>
      </c>
      <c r="X66" t="s">
        <v>278</v>
      </c>
      <c r="AA66" s="6">
        <f>(207+70)/11</f>
        <v>25.181818181818183</v>
      </c>
      <c r="AB66" s="6" t="b">
        <v>0</v>
      </c>
      <c r="AC66" t="s">
        <v>340</v>
      </c>
    </row>
    <row r="67" spans="1:29" x14ac:dyDescent="0.2">
      <c r="A67" t="s">
        <v>341</v>
      </c>
      <c r="B67" t="s">
        <v>342</v>
      </c>
      <c r="C67" t="s">
        <v>31</v>
      </c>
      <c r="D67" t="s">
        <v>32</v>
      </c>
      <c r="E67" t="s">
        <v>120</v>
      </c>
      <c r="F67" t="s">
        <v>121</v>
      </c>
      <c r="G67" t="s">
        <v>122</v>
      </c>
      <c r="H67" t="s">
        <v>343</v>
      </c>
      <c r="I67" t="s">
        <v>54</v>
      </c>
      <c r="J67" s="2">
        <v>8.471482</v>
      </c>
      <c r="K67" s="2">
        <v>6.4614367000000001</v>
      </c>
      <c r="L67" s="2">
        <v>12.849035000000001</v>
      </c>
      <c r="M67" s="2">
        <v>6.1207414</v>
      </c>
      <c r="N67" s="2">
        <v>6.1386275000000001</v>
      </c>
      <c r="O67" s="2">
        <v>5.2301983999999999</v>
      </c>
      <c r="P67" s="2">
        <v>0.79223555000000001</v>
      </c>
      <c r="Q67" s="2">
        <v>9.2606512330000008</v>
      </c>
      <c r="R67" s="2">
        <v>5.8298557669999997</v>
      </c>
      <c r="S67" s="2">
        <v>46.063756550000001</v>
      </c>
      <c r="T67" s="2">
        <f t="shared" ref="T67:T98" si="2">LOG10(S67)</f>
        <v>1.6633593522650112</v>
      </c>
      <c r="U67">
        <v>3.8187472558286202</v>
      </c>
      <c r="V67">
        <v>3.1565653490375101</v>
      </c>
      <c r="W67" t="s">
        <v>344</v>
      </c>
      <c r="X67" t="s">
        <v>39</v>
      </c>
      <c r="AB67" s="6" t="b">
        <v>0</v>
      </c>
      <c r="AC67" t="s">
        <v>343</v>
      </c>
    </row>
    <row r="68" spans="1:29" x14ac:dyDescent="0.2">
      <c r="A68" t="s">
        <v>345</v>
      </c>
      <c r="B68" t="s">
        <v>346</v>
      </c>
      <c r="C68" t="s">
        <v>31</v>
      </c>
      <c r="D68" t="s">
        <v>193</v>
      </c>
      <c r="E68" t="s">
        <v>194</v>
      </c>
      <c r="F68" t="s">
        <v>239</v>
      </c>
      <c r="G68" t="s">
        <v>239</v>
      </c>
      <c r="H68" t="s">
        <v>239</v>
      </c>
      <c r="I68" t="s">
        <v>347</v>
      </c>
      <c r="J68" s="2">
        <v>0.73097880000000004</v>
      </c>
      <c r="K68" s="2">
        <v>0.63373659999999998</v>
      </c>
      <c r="L68" s="2">
        <v>0.29271844000000002</v>
      </c>
      <c r="M68" s="2">
        <v>0.27776899999999999</v>
      </c>
      <c r="N68" s="2">
        <v>0.50484883999999997</v>
      </c>
      <c r="O68" s="2">
        <v>0.29882662999999998</v>
      </c>
      <c r="P68" s="2">
        <v>1.008095</v>
      </c>
      <c r="Q68" s="2">
        <v>0.55247794699999997</v>
      </c>
      <c r="R68" s="2">
        <v>0.36048149000000002</v>
      </c>
      <c r="S68" s="2">
        <v>3.74697331</v>
      </c>
      <c r="T68" s="2">
        <f t="shared" si="2"/>
        <v>0.5736805995893931</v>
      </c>
      <c r="U68">
        <v>0.65331628330786995</v>
      </c>
      <c r="V68">
        <v>0.47650357210793798</v>
      </c>
      <c r="W68" t="s">
        <v>240</v>
      </c>
      <c r="X68" t="s">
        <v>197</v>
      </c>
      <c r="AB68" s="6" t="b">
        <v>0</v>
      </c>
      <c r="AC68" t="s">
        <v>239</v>
      </c>
    </row>
    <row r="69" spans="1:29" x14ac:dyDescent="0.2">
      <c r="A69" t="s">
        <v>348</v>
      </c>
      <c r="B69" t="s">
        <v>349</v>
      </c>
      <c r="C69" t="s">
        <v>31</v>
      </c>
      <c r="D69" t="s">
        <v>350</v>
      </c>
      <c r="E69" t="s">
        <v>351</v>
      </c>
      <c r="F69" t="s">
        <v>352</v>
      </c>
      <c r="G69" t="s">
        <v>353</v>
      </c>
      <c r="H69" t="s">
        <v>354</v>
      </c>
      <c r="I69" t="s">
        <v>54</v>
      </c>
      <c r="J69" s="2">
        <v>0.13467835</v>
      </c>
      <c r="K69" s="2">
        <v>8.3067520000000006E-2</v>
      </c>
      <c r="L69" s="2">
        <v>0.14443173000000001</v>
      </c>
      <c r="M69" s="2">
        <v>0.16727275</v>
      </c>
      <c r="N69" s="2">
        <v>3.3750519999999999E-2</v>
      </c>
      <c r="O69" s="2">
        <v>4.3153506000000001E-2</v>
      </c>
      <c r="P69" s="2">
        <v>1.3398333</v>
      </c>
      <c r="Q69" s="2">
        <v>0.120725867</v>
      </c>
      <c r="R69" s="2">
        <v>8.1392258999999995E-2</v>
      </c>
      <c r="S69" s="2">
        <v>1.9461876760000001</v>
      </c>
      <c r="T69" s="2">
        <f t="shared" si="2"/>
        <v>0.2891847181117313</v>
      </c>
      <c r="U69">
        <v>0.180922501357066</v>
      </c>
      <c r="V69">
        <v>0.14169606961422301</v>
      </c>
      <c r="W69" t="s">
        <v>355</v>
      </c>
      <c r="X69" t="s">
        <v>356</v>
      </c>
      <c r="AB69" s="6" t="b">
        <v>0</v>
      </c>
      <c r="AC69" t="s">
        <v>354</v>
      </c>
    </row>
    <row r="70" spans="1:29" x14ac:dyDescent="0.2">
      <c r="A70" t="s">
        <v>357</v>
      </c>
      <c r="B70" t="s">
        <v>358</v>
      </c>
      <c r="C70" t="s">
        <v>31</v>
      </c>
      <c r="D70" t="s">
        <v>307</v>
      </c>
      <c r="E70" t="s">
        <v>359</v>
      </c>
      <c r="F70" t="s">
        <v>360</v>
      </c>
      <c r="G70" t="s">
        <v>361</v>
      </c>
      <c r="H70" t="s">
        <v>54</v>
      </c>
      <c r="I70" t="s">
        <v>54</v>
      </c>
      <c r="J70" s="2">
        <v>0.15924324000000001</v>
      </c>
      <c r="K70" s="2">
        <v>0.26538590000000001</v>
      </c>
      <c r="L70" s="2">
        <v>0.56332344000000001</v>
      </c>
      <c r="M70" s="2">
        <v>0.16126913000000001</v>
      </c>
      <c r="N70" s="2">
        <v>1.8208126000000002E-2</v>
      </c>
      <c r="O70" s="2">
        <v>2.7127089E-2</v>
      </c>
      <c r="P70" s="2">
        <v>2.1204945999999998</v>
      </c>
      <c r="Q70" s="2">
        <v>0.329317527</v>
      </c>
      <c r="R70" s="2">
        <v>6.8868114999999994E-2</v>
      </c>
      <c r="S70" s="2">
        <v>3.3150515249999999</v>
      </c>
      <c r="T70" s="2">
        <f t="shared" si="2"/>
        <v>0.52049028292156985</v>
      </c>
      <c r="U70">
        <v>0.278700309217913</v>
      </c>
      <c r="V70">
        <v>9.7338391187029097E-2</v>
      </c>
      <c r="W70" t="s">
        <v>196</v>
      </c>
      <c r="X70" t="s">
        <v>312</v>
      </c>
      <c r="AB70" s="6" t="b">
        <v>0</v>
      </c>
      <c r="AC70" t="s">
        <v>54</v>
      </c>
    </row>
    <row r="71" spans="1:29" x14ac:dyDescent="0.2">
      <c r="A71" t="s">
        <v>362</v>
      </c>
      <c r="B71" t="s">
        <v>363</v>
      </c>
      <c r="C71" t="s">
        <v>31</v>
      </c>
      <c r="D71" t="s">
        <v>222</v>
      </c>
      <c r="E71" t="s">
        <v>223</v>
      </c>
      <c r="F71" t="s">
        <v>224</v>
      </c>
      <c r="G71" t="s">
        <v>364</v>
      </c>
      <c r="H71" t="s">
        <v>54</v>
      </c>
      <c r="I71" t="s">
        <v>54</v>
      </c>
      <c r="J71" s="2">
        <v>0.30748054000000002</v>
      </c>
      <c r="K71" s="2">
        <v>0.35893629999999999</v>
      </c>
      <c r="L71" s="2">
        <v>0</v>
      </c>
      <c r="M71" s="2">
        <v>0</v>
      </c>
      <c r="N71" s="2">
        <v>1.2334415000000001</v>
      </c>
      <c r="O71" s="2">
        <v>0.11591652</v>
      </c>
      <c r="P71" s="2">
        <v>0</v>
      </c>
      <c r="Q71" s="2">
        <v>0.222138947</v>
      </c>
      <c r="R71" s="2">
        <v>0.44978600699999999</v>
      </c>
      <c r="S71" s="2">
        <v>2.0157748600000001</v>
      </c>
      <c r="T71" s="2">
        <f t="shared" si="2"/>
        <v>0.30444202453947661</v>
      </c>
      <c r="U71">
        <v>4.9333651180028504</v>
      </c>
      <c r="V71">
        <v>8.3074620229483802</v>
      </c>
      <c r="W71" t="s">
        <v>196</v>
      </c>
      <c r="X71" t="s">
        <v>226</v>
      </c>
      <c r="AB71" s="6" t="b">
        <v>0</v>
      </c>
      <c r="AC71" t="s">
        <v>54</v>
      </c>
    </row>
    <row r="72" spans="1:29" x14ac:dyDescent="0.2">
      <c r="A72" t="s">
        <v>365</v>
      </c>
      <c r="B72" t="s">
        <v>346</v>
      </c>
      <c r="C72" t="s">
        <v>31</v>
      </c>
      <c r="D72" t="s">
        <v>193</v>
      </c>
      <c r="E72" t="s">
        <v>194</v>
      </c>
      <c r="F72" t="s">
        <v>239</v>
      </c>
      <c r="G72" t="s">
        <v>239</v>
      </c>
      <c r="H72" t="s">
        <v>239</v>
      </c>
      <c r="I72" t="s">
        <v>347</v>
      </c>
      <c r="J72" s="2">
        <v>0.70446180000000003</v>
      </c>
      <c r="K72" s="2">
        <v>0.64774953999999996</v>
      </c>
      <c r="L72" s="2">
        <v>0.20716907000000001</v>
      </c>
      <c r="M72" s="2">
        <v>0.34489239999999999</v>
      </c>
      <c r="N72" s="2">
        <v>0.48295843999999999</v>
      </c>
      <c r="O72" s="2">
        <v>0.2789124</v>
      </c>
      <c r="P72" s="2">
        <v>1.0104605</v>
      </c>
      <c r="Q72" s="2">
        <v>0.51979346999999998</v>
      </c>
      <c r="R72" s="2">
        <v>0.36892108000000001</v>
      </c>
      <c r="S72" s="2">
        <v>3.6766041500000002</v>
      </c>
      <c r="T72" s="2">
        <f t="shared" si="2"/>
        <v>0.56544687307659547</v>
      </c>
      <c r="U72">
        <v>0.62377321992711399</v>
      </c>
      <c r="V72">
        <v>0.48399848016941099</v>
      </c>
      <c r="W72" t="s">
        <v>240</v>
      </c>
      <c r="X72" t="s">
        <v>197</v>
      </c>
      <c r="AB72" s="6" t="b">
        <v>0</v>
      </c>
      <c r="AC72" t="s">
        <v>239</v>
      </c>
    </row>
    <row r="73" spans="1:29" x14ac:dyDescent="0.2">
      <c r="A73" t="s">
        <v>366</v>
      </c>
      <c r="B73" t="s">
        <v>329</v>
      </c>
      <c r="C73" t="s">
        <v>31</v>
      </c>
      <c r="D73" t="s">
        <v>32</v>
      </c>
      <c r="E73" t="s">
        <v>33</v>
      </c>
      <c r="F73" t="s">
        <v>57</v>
      </c>
      <c r="G73" t="s">
        <v>287</v>
      </c>
      <c r="H73" t="s">
        <v>288</v>
      </c>
      <c r="I73" t="s">
        <v>54</v>
      </c>
      <c r="J73" s="2">
        <v>0.35494547999999998</v>
      </c>
      <c r="K73" s="2">
        <v>0.32503408</v>
      </c>
      <c r="L73" s="2">
        <v>0.70501320000000001</v>
      </c>
      <c r="M73" s="2">
        <v>0.27739380000000002</v>
      </c>
      <c r="N73" s="2">
        <v>1.4696480999999999</v>
      </c>
      <c r="O73" s="2">
        <v>0.62754995000000002</v>
      </c>
      <c r="P73" s="2">
        <v>2.9146403000000001E-2</v>
      </c>
      <c r="Q73" s="2">
        <v>0.46166425300000002</v>
      </c>
      <c r="R73" s="2">
        <v>0.79153061700000005</v>
      </c>
      <c r="S73" s="2">
        <v>3.788731013</v>
      </c>
      <c r="T73" s="2">
        <f t="shared" si="2"/>
        <v>0.57849377294018156</v>
      </c>
      <c r="U73">
        <v>5.4248291930378096</v>
      </c>
      <c r="V73">
        <v>8.0162030816289196</v>
      </c>
      <c r="W73" t="s">
        <v>290</v>
      </c>
      <c r="X73" t="s">
        <v>39</v>
      </c>
      <c r="Y73">
        <v>22</v>
      </c>
      <c r="Z73">
        <v>34466</v>
      </c>
      <c r="AB73" s="6" t="b">
        <v>0</v>
      </c>
      <c r="AC73" t="s">
        <v>288</v>
      </c>
    </row>
    <row r="74" spans="1:29" x14ac:dyDescent="0.2">
      <c r="A74" t="s">
        <v>367</v>
      </c>
      <c r="B74" t="s">
        <v>368</v>
      </c>
      <c r="C74" t="s">
        <v>31</v>
      </c>
      <c r="D74" t="s">
        <v>369</v>
      </c>
      <c r="E74" t="s">
        <v>369</v>
      </c>
      <c r="F74" t="s">
        <v>369</v>
      </c>
      <c r="G74" t="s">
        <v>369</v>
      </c>
      <c r="H74" t="s">
        <v>54</v>
      </c>
      <c r="I74" t="s">
        <v>54</v>
      </c>
      <c r="J74" s="2">
        <v>0.22113888000000001</v>
      </c>
      <c r="K74" s="2">
        <v>0.74891099999999999</v>
      </c>
      <c r="L74" s="2">
        <v>0</v>
      </c>
      <c r="M74" s="2">
        <v>0</v>
      </c>
      <c r="N74" s="2">
        <v>3.1157126000000002</v>
      </c>
      <c r="O74" s="2">
        <v>2.7324448000000001</v>
      </c>
      <c r="P74" s="2">
        <v>0</v>
      </c>
      <c r="Q74" s="2">
        <v>0.32334995999999999</v>
      </c>
      <c r="R74" s="2">
        <v>1.9493857999999999</v>
      </c>
      <c r="S74" s="2">
        <v>6.8182072800000002</v>
      </c>
      <c r="T74" s="2">
        <f t="shared" si="2"/>
        <v>0.83367020005976</v>
      </c>
      <c r="U74">
        <v>6.5023962681174998</v>
      </c>
      <c r="V74">
        <v>22.5128886748493</v>
      </c>
      <c r="W74" t="s">
        <v>196</v>
      </c>
      <c r="X74" t="s">
        <v>370</v>
      </c>
      <c r="AB74" s="6" t="b">
        <v>0</v>
      </c>
      <c r="AC74" t="s">
        <v>54</v>
      </c>
    </row>
    <row r="75" spans="1:29" x14ac:dyDescent="0.2">
      <c r="A75" t="s">
        <v>371</v>
      </c>
      <c r="B75" t="s">
        <v>346</v>
      </c>
      <c r="C75" t="s">
        <v>31</v>
      </c>
      <c r="D75" t="s">
        <v>193</v>
      </c>
      <c r="E75" t="s">
        <v>194</v>
      </c>
      <c r="F75" t="s">
        <v>239</v>
      </c>
      <c r="G75" t="s">
        <v>239</v>
      </c>
      <c r="H75" t="s">
        <v>239</v>
      </c>
      <c r="I75" t="s">
        <v>347</v>
      </c>
      <c r="J75" s="2">
        <v>0.68559426000000001</v>
      </c>
      <c r="K75" s="2">
        <v>0.63358945</v>
      </c>
      <c r="L75" s="2">
        <v>0.19762945000000001</v>
      </c>
      <c r="M75" s="2">
        <v>0.26709947000000001</v>
      </c>
      <c r="N75" s="2">
        <v>0.48650715</v>
      </c>
      <c r="O75" s="2">
        <v>0.32766518</v>
      </c>
      <c r="P75" s="2">
        <v>0.96101749999999997</v>
      </c>
      <c r="Q75" s="2">
        <v>0.50560438699999999</v>
      </c>
      <c r="R75" s="2">
        <v>0.36042393299999997</v>
      </c>
      <c r="S75" s="2">
        <v>3.5591024600000001</v>
      </c>
      <c r="T75" s="2">
        <f t="shared" si="2"/>
        <v>0.5513404907214926</v>
      </c>
      <c r="U75">
        <v>0.63246254051607498</v>
      </c>
      <c r="V75">
        <v>0.49222764338595698</v>
      </c>
      <c r="W75" t="s">
        <v>240</v>
      </c>
      <c r="X75" t="s">
        <v>197</v>
      </c>
      <c r="AB75" s="6" t="b">
        <v>0</v>
      </c>
      <c r="AC75" t="s">
        <v>239</v>
      </c>
    </row>
    <row r="76" spans="1:29" x14ac:dyDescent="0.2">
      <c r="A76" t="s">
        <v>372</v>
      </c>
      <c r="B76" t="s">
        <v>373</v>
      </c>
      <c r="C76" t="s">
        <v>31</v>
      </c>
      <c r="D76" t="s">
        <v>32</v>
      </c>
      <c r="E76" t="s">
        <v>33</v>
      </c>
      <c r="F76" t="s">
        <v>374</v>
      </c>
      <c r="G76" t="s">
        <v>374</v>
      </c>
      <c r="H76" t="s">
        <v>374</v>
      </c>
      <c r="I76" t="s">
        <v>375</v>
      </c>
      <c r="J76" s="2">
        <v>0.90877277000000001</v>
      </c>
      <c r="K76" s="2">
        <v>0.46037388000000001</v>
      </c>
      <c r="L76" s="2">
        <v>2.9765847000000001</v>
      </c>
      <c r="M76" s="2">
        <v>3.8146293</v>
      </c>
      <c r="N76" s="2">
        <v>0.57192989999999999</v>
      </c>
      <c r="O76" s="2">
        <v>1.1321741000000001</v>
      </c>
      <c r="P76" s="2">
        <v>9.8571670000000005</v>
      </c>
      <c r="Q76" s="2">
        <v>1.4485771169999999</v>
      </c>
      <c r="R76" s="2">
        <v>1.839577767</v>
      </c>
      <c r="S76" s="2">
        <v>19.721631649999999</v>
      </c>
      <c r="T76" s="2">
        <f t="shared" si="2"/>
        <v>1.2949428430229022</v>
      </c>
      <c r="U76">
        <v>0.38324002469914298</v>
      </c>
      <c r="V76">
        <v>0.44408699491542403</v>
      </c>
      <c r="W76" t="s">
        <v>376</v>
      </c>
      <c r="X76" t="s">
        <v>39</v>
      </c>
      <c r="AB76" s="6" t="b">
        <v>0</v>
      </c>
      <c r="AC76" t="s">
        <v>374</v>
      </c>
    </row>
    <row r="77" spans="1:29" x14ac:dyDescent="0.2">
      <c r="A77" t="s">
        <v>377</v>
      </c>
      <c r="B77" t="s">
        <v>378</v>
      </c>
      <c r="C77" t="s">
        <v>31</v>
      </c>
      <c r="D77" t="s">
        <v>111</v>
      </c>
      <c r="E77" t="s">
        <v>112</v>
      </c>
      <c r="F77" t="s">
        <v>235</v>
      </c>
      <c r="G77" t="s">
        <v>235</v>
      </c>
      <c r="H77" t="s">
        <v>54</v>
      </c>
      <c r="I77" t="s">
        <v>54</v>
      </c>
      <c r="J77" s="2">
        <v>0.93955564000000003</v>
      </c>
      <c r="K77" s="2">
        <v>0.5061485</v>
      </c>
      <c r="L77" s="2">
        <v>0</v>
      </c>
      <c r="M77" s="2">
        <v>0</v>
      </c>
      <c r="N77" s="2">
        <v>0.4065571</v>
      </c>
      <c r="O77" s="2">
        <v>0</v>
      </c>
      <c r="P77" s="2">
        <v>0</v>
      </c>
      <c r="Q77" s="2">
        <v>0.48190137999999999</v>
      </c>
      <c r="R77" s="2">
        <v>0.13551903300000001</v>
      </c>
      <c r="S77" s="2">
        <v>1.85226124</v>
      </c>
      <c r="T77" s="2">
        <f t="shared" si="2"/>
        <v>0.26770223887362227</v>
      </c>
      <c r="U77">
        <v>8.7417147111264608</v>
      </c>
      <c r="V77">
        <v>3.48801206392032</v>
      </c>
      <c r="W77" t="s">
        <v>196</v>
      </c>
      <c r="X77" t="s">
        <v>117</v>
      </c>
      <c r="AB77" s="6" t="b">
        <v>0</v>
      </c>
      <c r="AC77" t="s">
        <v>54</v>
      </c>
    </row>
    <row r="78" spans="1:29" x14ac:dyDescent="0.2">
      <c r="A78" t="s">
        <v>379</v>
      </c>
      <c r="B78" t="s">
        <v>380</v>
      </c>
      <c r="C78" t="s">
        <v>31</v>
      </c>
      <c r="D78" t="s">
        <v>381</v>
      </c>
      <c r="E78" t="s">
        <v>382</v>
      </c>
      <c r="F78" t="s">
        <v>383</v>
      </c>
      <c r="G78" t="s">
        <v>384</v>
      </c>
      <c r="H78" t="s">
        <v>385</v>
      </c>
      <c r="I78" t="s">
        <v>54</v>
      </c>
      <c r="J78" s="2">
        <v>0.79894525000000005</v>
      </c>
      <c r="K78" s="2">
        <v>0.50944239999999996</v>
      </c>
      <c r="L78" s="2">
        <v>7.4731976000000006E-2</v>
      </c>
      <c r="M78" s="2">
        <v>5.0105990000000003E-2</v>
      </c>
      <c r="N78" s="2">
        <v>0.45661469999999998</v>
      </c>
      <c r="O78" s="2">
        <v>0.27915364999999998</v>
      </c>
      <c r="P78" s="2">
        <v>0.19148066999999999</v>
      </c>
      <c r="Q78" s="2">
        <v>0.46103987499999999</v>
      </c>
      <c r="R78" s="2">
        <v>0.26195811299999999</v>
      </c>
      <c r="S78" s="2">
        <v>2.3604746360000002</v>
      </c>
      <c r="T78" s="2">
        <f t="shared" si="2"/>
        <v>0.37299933816934072</v>
      </c>
      <c r="U78">
        <v>1.90840959968654</v>
      </c>
      <c r="V78">
        <v>1.25526950495339</v>
      </c>
      <c r="W78" t="s">
        <v>386</v>
      </c>
      <c r="X78" t="s">
        <v>387</v>
      </c>
      <c r="AB78" s="6" t="b">
        <v>0</v>
      </c>
      <c r="AC78" t="s">
        <v>385</v>
      </c>
    </row>
    <row r="79" spans="1:29" x14ac:dyDescent="0.2">
      <c r="A79" t="s">
        <v>388</v>
      </c>
      <c r="B79" t="s">
        <v>342</v>
      </c>
      <c r="C79" t="s">
        <v>31</v>
      </c>
      <c r="D79" t="s">
        <v>32</v>
      </c>
      <c r="E79" t="s">
        <v>120</v>
      </c>
      <c r="F79" t="s">
        <v>121</v>
      </c>
      <c r="G79" t="s">
        <v>122</v>
      </c>
      <c r="H79" t="s">
        <v>343</v>
      </c>
      <c r="I79" t="s">
        <v>54</v>
      </c>
      <c r="J79" s="2">
        <v>0.8775345</v>
      </c>
      <c r="K79" s="2">
        <v>0.51180060000000005</v>
      </c>
      <c r="L79" s="2">
        <v>1.8225237000000001</v>
      </c>
      <c r="M79" s="2">
        <v>1.2594460999999999</v>
      </c>
      <c r="N79" s="2">
        <v>0.66705406</v>
      </c>
      <c r="O79" s="2">
        <v>0.54663209999999995</v>
      </c>
      <c r="P79" s="2">
        <v>0.76479649999999999</v>
      </c>
      <c r="Q79" s="2">
        <v>1.0706195999999999</v>
      </c>
      <c r="R79" s="2">
        <v>0.82437742000000003</v>
      </c>
      <c r="S79" s="2">
        <v>6.4497875599999999</v>
      </c>
      <c r="T79" s="2">
        <f t="shared" si="2"/>
        <v>0.80954541028811244</v>
      </c>
      <c r="U79">
        <v>1.26131197388501</v>
      </c>
      <c r="V79">
        <v>1.0542024604436899</v>
      </c>
      <c r="W79" t="s">
        <v>344</v>
      </c>
      <c r="X79" t="s">
        <v>39</v>
      </c>
      <c r="AB79" s="6" t="b">
        <v>0</v>
      </c>
      <c r="AC79" t="s">
        <v>343</v>
      </c>
    </row>
    <row r="80" spans="1:29" x14ac:dyDescent="0.2">
      <c r="A80" t="s">
        <v>389</v>
      </c>
      <c r="B80" t="s">
        <v>336</v>
      </c>
      <c r="C80" t="s">
        <v>31</v>
      </c>
      <c r="D80" t="s">
        <v>272</v>
      </c>
      <c r="E80" t="s">
        <v>273</v>
      </c>
      <c r="F80" t="s">
        <v>332</v>
      </c>
      <c r="G80" t="s">
        <v>337</v>
      </c>
      <c r="H80" t="s">
        <v>338</v>
      </c>
      <c r="I80" t="s">
        <v>54</v>
      </c>
      <c r="J80" s="2">
        <v>0.2770957</v>
      </c>
      <c r="K80" s="2">
        <v>0.29549955999999999</v>
      </c>
      <c r="L80" s="2">
        <v>0.14385782</v>
      </c>
      <c r="M80" s="2">
        <v>0.20191252000000001</v>
      </c>
      <c r="N80" s="2">
        <v>0.25780930000000002</v>
      </c>
      <c r="O80" s="2">
        <v>0.18910652</v>
      </c>
      <c r="P80" s="2">
        <v>0.95095490000000005</v>
      </c>
      <c r="Q80" s="2">
        <v>0.238817693</v>
      </c>
      <c r="R80" s="2">
        <v>0.21627611299999999</v>
      </c>
      <c r="S80" s="2">
        <v>2.3162363199999998</v>
      </c>
      <c r="T80" s="2">
        <f t="shared" si="2"/>
        <v>0.36478286733351323</v>
      </c>
      <c r="U80">
        <v>0.36579629898069699</v>
      </c>
      <c r="V80">
        <v>0.34035763301668298</v>
      </c>
      <c r="W80" t="s">
        <v>339</v>
      </c>
      <c r="X80" t="s">
        <v>278</v>
      </c>
      <c r="AA80" s="6">
        <f>(207+70)/11</f>
        <v>25.181818181818183</v>
      </c>
      <c r="AB80" s="6" t="b">
        <v>0</v>
      </c>
      <c r="AC80" t="s">
        <v>340</v>
      </c>
    </row>
    <row r="81" spans="1:29" x14ac:dyDescent="0.2">
      <c r="A81" t="s">
        <v>390</v>
      </c>
      <c r="B81" t="s">
        <v>380</v>
      </c>
      <c r="C81" t="s">
        <v>31</v>
      </c>
      <c r="D81" t="s">
        <v>381</v>
      </c>
      <c r="E81" t="s">
        <v>382</v>
      </c>
      <c r="F81" t="s">
        <v>383</v>
      </c>
      <c r="G81" t="s">
        <v>384</v>
      </c>
      <c r="H81" t="s">
        <v>385</v>
      </c>
      <c r="I81" t="s">
        <v>54</v>
      </c>
      <c r="J81" s="2">
        <v>0.60702615999999998</v>
      </c>
      <c r="K81" s="2">
        <v>0.42923467999999998</v>
      </c>
      <c r="L81" s="2">
        <v>6.6931779999999996E-2</v>
      </c>
      <c r="M81" s="2">
        <v>4.783975E-2</v>
      </c>
      <c r="N81" s="2">
        <v>0.46975908</v>
      </c>
      <c r="O81" s="2">
        <v>0.23885249</v>
      </c>
      <c r="P81" s="2">
        <v>0.17747157999999999</v>
      </c>
      <c r="Q81" s="2">
        <v>0.36773087300000001</v>
      </c>
      <c r="R81" s="2">
        <v>0.25215043999999998</v>
      </c>
      <c r="S81" s="2">
        <v>2.03711552</v>
      </c>
      <c r="T81" s="2">
        <f t="shared" si="2"/>
        <v>0.30901565751072874</v>
      </c>
      <c r="U81">
        <v>1.7030820682025101</v>
      </c>
      <c r="V81">
        <v>1.28816200315898</v>
      </c>
      <c r="W81" t="s">
        <v>386</v>
      </c>
      <c r="X81" t="s">
        <v>387</v>
      </c>
      <c r="AB81" s="6" t="b">
        <v>0</v>
      </c>
      <c r="AC81" t="s">
        <v>385</v>
      </c>
    </row>
    <row r="82" spans="1:29" x14ac:dyDescent="0.2">
      <c r="A82" t="s">
        <v>391</v>
      </c>
      <c r="B82" t="s">
        <v>346</v>
      </c>
      <c r="C82" t="s">
        <v>31</v>
      </c>
      <c r="D82" t="s">
        <v>193</v>
      </c>
      <c r="E82" t="s">
        <v>194</v>
      </c>
      <c r="F82" t="s">
        <v>239</v>
      </c>
      <c r="G82" t="s">
        <v>239</v>
      </c>
      <c r="H82" t="s">
        <v>239</v>
      </c>
      <c r="I82" t="s">
        <v>347</v>
      </c>
      <c r="J82" s="2">
        <v>0.63840669999999999</v>
      </c>
      <c r="K82" s="2">
        <v>0.58614814000000004</v>
      </c>
      <c r="L82" s="2">
        <v>0.19488235000000001</v>
      </c>
      <c r="M82" s="2">
        <v>0.25680663999999997</v>
      </c>
      <c r="N82" s="2">
        <v>0.44995162</v>
      </c>
      <c r="O82" s="2">
        <v>0.24587000000000001</v>
      </c>
      <c r="P82" s="2">
        <v>1.0621579999999999</v>
      </c>
      <c r="Q82" s="2">
        <v>0.47314572999999999</v>
      </c>
      <c r="R82" s="2">
        <v>0.31754275300000001</v>
      </c>
      <c r="S82" s="2">
        <v>3.4342234500000002</v>
      </c>
      <c r="T82" s="2">
        <f t="shared" si="2"/>
        <v>0.53582854939939573</v>
      </c>
      <c r="U82">
        <v>0.56275515608679705</v>
      </c>
      <c r="V82">
        <v>0.41863215116659802</v>
      </c>
      <c r="W82" t="s">
        <v>240</v>
      </c>
      <c r="X82" t="s">
        <v>197</v>
      </c>
      <c r="AB82" s="6" t="b">
        <v>0</v>
      </c>
      <c r="AC82" t="s">
        <v>239</v>
      </c>
    </row>
    <row r="83" spans="1:29" x14ac:dyDescent="0.2">
      <c r="A83" t="s">
        <v>392</v>
      </c>
      <c r="B83" t="s">
        <v>346</v>
      </c>
      <c r="C83" t="s">
        <v>31</v>
      </c>
      <c r="D83" t="s">
        <v>193</v>
      </c>
      <c r="E83" t="s">
        <v>194</v>
      </c>
      <c r="F83" t="s">
        <v>239</v>
      </c>
      <c r="G83" t="s">
        <v>239</v>
      </c>
      <c r="H83" t="s">
        <v>239</v>
      </c>
      <c r="I83" t="s">
        <v>347</v>
      </c>
      <c r="J83" s="2">
        <v>0.80790585000000004</v>
      </c>
      <c r="K83" s="2">
        <v>0.70456339999999995</v>
      </c>
      <c r="L83" s="2">
        <v>0.23190582000000001</v>
      </c>
      <c r="M83" s="2">
        <v>0.31087455000000003</v>
      </c>
      <c r="N83" s="2">
        <v>0.57976059999999996</v>
      </c>
      <c r="O83" s="2">
        <v>0.30990380000000001</v>
      </c>
      <c r="P83" s="2">
        <v>1.1592897</v>
      </c>
      <c r="Q83" s="2">
        <v>0.58145835700000004</v>
      </c>
      <c r="R83" s="2">
        <v>0.40017965</v>
      </c>
      <c r="S83" s="2">
        <v>4.1042037200000001</v>
      </c>
      <c r="T83" s="2">
        <f t="shared" si="2"/>
        <v>0.61322890967588883</v>
      </c>
      <c r="U83">
        <v>0.61749991433890405</v>
      </c>
      <c r="V83">
        <v>0.46890502697126002</v>
      </c>
      <c r="W83" t="s">
        <v>240</v>
      </c>
      <c r="X83" t="s">
        <v>197</v>
      </c>
      <c r="AB83" s="6" t="b">
        <v>0</v>
      </c>
      <c r="AC83" t="s">
        <v>239</v>
      </c>
    </row>
    <row r="84" spans="1:29" x14ac:dyDescent="0.2">
      <c r="A84" t="s">
        <v>393</v>
      </c>
      <c r="B84" t="s">
        <v>394</v>
      </c>
      <c r="C84" t="s">
        <v>31</v>
      </c>
      <c r="D84" t="s">
        <v>395</v>
      </c>
      <c r="E84" t="s">
        <v>396</v>
      </c>
      <c r="F84" t="s">
        <v>396</v>
      </c>
      <c r="G84" t="s">
        <v>397</v>
      </c>
      <c r="H84" t="s">
        <v>398</v>
      </c>
      <c r="I84" t="s">
        <v>399</v>
      </c>
      <c r="J84" s="2">
        <v>0.87604470000000001</v>
      </c>
      <c r="K84" s="2">
        <v>0.73867740000000004</v>
      </c>
      <c r="L84" s="2">
        <v>0.20878930000000001</v>
      </c>
      <c r="M84" s="2">
        <v>0.3691373</v>
      </c>
      <c r="N84" s="2">
        <v>0.55840900000000004</v>
      </c>
      <c r="O84" s="2">
        <v>0.44023937000000002</v>
      </c>
      <c r="P84" s="2">
        <v>2.0156808000000002</v>
      </c>
      <c r="Q84" s="2">
        <v>0.60783713299999997</v>
      </c>
      <c r="R84" s="2">
        <v>0.45592855700000001</v>
      </c>
      <c r="S84" s="2">
        <v>5.2069778700000002</v>
      </c>
      <c r="T84" s="2">
        <f t="shared" si="2"/>
        <v>0.71658573189937047</v>
      </c>
      <c r="U84">
        <v>0.45124297879476</v>
      </c>
      <c r="V84">
        <v>0.365456373560133</v>
      </c>
      <c r="W84" t="s">
        <v>400</v>
      </c>
      <c r="X84" t="s">
        <v>401</v>
      </c>
      <c r="AB84" s="6" t="b">
        <v>0</v>
      </c>
      <c r="AC84" t="s">
        <v>398</v>
      </c>
    </row>
    <row r="85" spans="1:29" x14ac:dyDescent="0.2">
      <c r="A85" t="s">
        <v>402</v>
      </c>
      <c r="B85" t="s">
        <v>346</v>
      </c>
      <c r="C85" t="s">
        <v>31</v>
      </c>
      <c r="D85" t="s">
        <v>193</v>
      </c>
      <c r="E85" t="s">
        <v>194</v>
      </c>
      <c r="F85" t="s">
        <v>239</v>
      </c>
      <c r="G85" t="s">
        <v>239</v>
      </c>
      <c r="H85" t="s">
        <v>239</v>
      </c>
      <c r="I85" t="s">
        <v>347</v>
      </c>
      <c r="J85" s="2">
        <v>0.80994343999999996</v>
      </c>
      <c r="K85" s="2">
        <v>0.68258076999999995</v>
      </c>
      <c r="L85" s="2">
        <v>0.24392103000000001</v>
      </c>
      <c r="M85" s="2">
        <v>0.30949396000000001</v>
      </c>
      <c r="N85" s="2">
        <v>0.53746389999999999</v>
      </c>
      <c r="O85" s="2">
        <v>0.30136675000000002</v>
      </c>
      <c r="P85" s="2">
        <v>1.0550762</v>
      </c>
      <c r="Q85" s="2">
        <v>0.57881508000000004</v>
      </c>
      <c r="R85" s="2">
        <v>0.38277486999999999</v>
      </c>
      <c r="S85" s="2">
        <v>3.9398460499999999</v>
      </c>
      <c r="T85" s="2">
        <f t="shared" si="2"/>
        <v>0.59547925204340491</v>
      </c>
      <c r="U85">
        <v>0.65540634616948301</v>
      </c>
      <c r="V85">
        <v>0.48312249296996002</v>
      </c>
      <c r="W85" t="s">
        <v>240</v>
      </c>
      <c r="X85" t="s">
        <v>197</v>
      </c>
      <c r="AB85" s="6" t="b">
        <v>0</v>
      </c>
      <c r="AC85" t="s">
        <v>239</v>
      </c>
    </row>
    <row r="86" spans="1:29" x14ac:dyDescent="0.2">
      <c r="A86" t="s">
        <v>403</v>
      </c>
      <c r="B86" t="s">
        <v>314</v>
      </c>
      <c r="C86" t="s">
        <v>31</v>
      </c>
      <c r="D86" t="s">
        <v>193</v>
      </c>
      <c r="E86" t="s">
        <v>194</v>
      </c>
      <c r="F86" t="s">
        <v>315</v>
      </c>
      <c r="G86" t="s">
        <v>316</v>
      </c>
      <c r="H86" t="s">
        <v>317</v>
      </c>
      <c r="I86" t="s">
        <v>54</v>
      </c>
      <c r="J86" s="2">
        <v>0.87786600000000004</v>
      </c>
      <c r="K86" s="2">
        <v>0.51790380000000003</v>
      </c>
      <c r="L86" s="2">
        <v>0.16752441000000001</v>
      </c>
      <c r="M86" s="2">
        <v>0.22692267999999999</v>
      </c>
      <c r="N86" s="2">
        <v>0.44681224000000003</v>
      </c>
      <c r="O86" s="2">
        <v>0.26915485</v>
      </c>
      <c r="P86" s="2">
        <v>0.66462385999999996</v>
      </c>
      <c r="Q86" s="2">
        <v>0.52109806999999997</v>
      </c>
      <c r="R86" s="2">
        <v>0.31429658999999999</v>
      </c>
      <c r="S86" s="2">
        <v>3.1708078400000002</v>
      </c>
      <c r="T86" s="2">
        <f t="shared" si="2"/>
        <v>0.50116992334012322</v>
      </c>
      <c r="U86">
        <v>0.83787098203480403</v>
      </c>
      <c r="V86">
        <v>0.57611755877617499</v>
      </c>
      <c r="W86" t="s">
        <v>318</v>
      </c>
      <c r="X86" t="s">
        <v>197</v>
      </c>
      <c r="AB86" s="6" t="b">
        <v>0</v>
      </c>
      <c r="AC86" t="s">
        <v>317</v>
      </c>
    </row>
    <row r="87" spans="1:29" x14ac:dyDescent="0.2">
      <c r="A87" t="s">
        <v>404</v>
      </c>
      <c r="B87" t="s">
        <v>405</v>
      </c>
      <c r="C87" t="s">
        <v>31</v>
      </c>
      <c r="D87" t="s">
        <v>32</v>
      </c>
      <c r="E87" t="s">
        <v>33</v>
      </c>
      <c r="F87" t="s">
        <v>406</v>
      </c>
      <c r="G87" t="s">
        <v>406</v>
      </c>
      <c r="H87" t="s">
        <v>407</v>
      </c>
      <c r="I87" t="s">
        <v>54</v>
      </c>
      <c r="J87" s="2">
        <v>2.9906545000000002</v>
      </c>
      <c r="K87" s="2">
        <v>2.6093837999999998</v>
      </c>
      <c r="L87" s="2">
        <v>1.7005416</v>
      </c>
      <c r="M87" s="2">
        <v>1.9207685999999999</v>
      </c>
      <c r="N87" s="2">
        <v>2.7843491999999999</v>
      </c>
      <c r="O87" s="2">
        <v>1.9655832</v>
      </c>
      <c r="P87" s="2">
        <v>8.4669159999999994</v>
      </c>
      <c r="Q87" s="2">
        <v>2.4335266330000001</v>
      </c>
      <c r="R87" s="2">
        <v>2.2235670000000001</v>
      </c>
      <c r="S87" s="2">
        <v>22.438196900000001</v>
      </c>
      <c r="T87" s="2">
        <f t="shared" si="2"/>
        <v>1.350987954730162</v>
      </c>
      <c r="U87">
        <v>0.55393073091149703</v>
      </c>
      <c r="V87">
        <v>0.52633951470937201</v>
      </c>
      <c r="W87" t="s">
        <v>408</v>
      </c>
      <c r="X87" t="s">
        <v>39</v>
      </c>
      <c r="AB87" s="6" t="b">
        <v>0</v>
      </c>
      <c r="AC87" t="s">
        <v>407</v>
      </c>
    </row>
    <row r="88" spans="1:29" x14ac:dyDescent="0.2">
      <c r="A88" t="s">
        <v>409</v>
      </c>
      <c r="B88" t="s">
        <v>410</v>
      </c>
      <c r="C88" t="s">
        <v>31</v>
      </c>
      <c r="D88" t="s">
        <v>200</v>
      </c>
      <c r="E88" t="s">
        <v>411</v>
      </c>
      <c r="F88" t="s">
        <v>412</v>
      </c>
      <c r="G88" t="s">
        <v>413</v>
      </c>
      <c r="H88" t="s">
        <v>414</v>
      </c>
      <c r="I88" t="s">
        <v>54</v>
      </c>
      <c r="J88" s="2">
        <v>0.27586323000000001</v>
      </c>
      <c r="K88" s="2">
        <v>0.31478852000000002</v>
      </c>
      <c r="L88" s="2">
        <v>0.13675234</v>
      </c>
      <c r="M88" s="2">
        <v>9.9888400000000002E-2</v>
      </c>
      <c r="N88" s="2">
        <v>0.16110294</v>
      </c>
      <c r="O88" s="2">
        <v>0.13688449999999999</v>
      </c>
      <c r="P88" s="2">
        <v>1.0302492000000001</v>
      </c>
      <c r="Q88" s="2">
        <v>0.24246803</v>
      </c>
      <c r="R88" s="2">
        <v>0.13262528000000001</v>
      </c>
      <c r="S88" s="2">
        <v>2.1555291300000001</v>
      </c>
      <c r="T88" s="2">
        <f t="shared" si="2"/>
        <v>0.33355389632132615</v>
      </c>
      <c r="U88">
        <v>0.350249695805258</v>
      </c>
      <c r="V88">
        <v>0.22899603928555101</v>
      </c>
      <c r="W88" t="s">
        <v>415</v>
      </c>
      <c r="X88" t="s">
        <v>205</v>
      </c>
      <c r="AB88" s="6" t="b">
        <v>0</v>
      </c>
      <c r="AC88" t="s">
        <v>414</v>
      </c>
    </row>
    <row r="89" spans="1:29" x14ac:dyDescent="0.2">
      <c r="A89" t="s">
        <v>416</v>
      </c>
      <c r="B89" t="s">
        <v>336</v>
      </c>
      <c r="C89" t="s">
        <v>31</v>
      </c>
      <c r="D89" t="s">
        <v>272</v>
      </c>
      <c r="E89" t="s">
        <v>273</v>
      </c>
      <c r="F89" t="s">
        <v>332</v>
      </c>
      <c r="G89" t="s">
        <v>337</v>
      </c>
      <c r="H89" t="s">
        <v>338</v>
      </c>
      <c r="I89" t="s">
        <v>54</v>
      </c>
      <c r="J89" s="2">
        <v>0.33398499999999998</v>
      </c>
      <c r="K89" s="2">
        <v>0.23971227000000001</v>
      </c>
      <c r="L89" s="2">
        <v>0.14551634999999999</v>
      </c>
      <c r="M89" s="2">
        <v>0.20282325000000001</v>
      </c>
      <c r="N89" s="2">
        <v>0.25631949999999998</v>
      </c>
      <c r="O89" s="2">
        <v>0.18899319000000001</v>
      </c>
      <c r="P89" s="2">
        <v>0.95149799999999995</v>
      </c>
      <c r="Q89" s="2">
        <v>0.23973787299999999</v>
      </c>
      <c r="R89" s="2">
        <v>0.21604531299999999</v>
      </c>
      <c r="S89" s="2">
        <v>2.31884756</v>
      </c>
      <c r="T89" s="2">
        <f t="shared" si="2"/>
        <v>0.36527219925166593</v>
      </c>
      <c r="U89">
        <v>0.36668180115762</v>
      </c>
      <c r="V89">
        <v>0.33996182319673901</v>
      </c>
      <c r="W89" t="s">
        <v>339</v>
      </c>
      <c r="X89" t="s">
        <v>278</v>
      </c>
      <c r="AA89" s="6">
        <f>(207+70)/11</f>
        <v>25.181818181818183</v>
      </c>
      <c r="AB89" s="6" t="b">
        <v>0</v>
      </c>
      <c r="AC89" t="s">
        <v>340</v>
      </c>
    </row>
    <row r="90" spans="1:29" x14ac:dyDescent="0.2">
      <c r="A90" t="s">
        <v>417</v>
      </c>
      <c r="B90" t="s">
        <v>300</v>
      </c>
      <c r="C90" t="s">
        <v>31</v>
      </c>
      <c r="D90" t="s">
        <v>111</v>
      </c>
      <c r="E90" t="s">
        <v>112</v>
      </c>
      <c r="F90" t="s">
        <v>301</v>
      </c>
      <c r="G90" t="s">
        <v>302</v>
      </c>
      <c r="H90" t="s">
        <v>303</v>
      </c>
      <c r="I90" t="s">
        <v>54</v>
      </c>
      <c r="J90" s="2">
        <v>1.4037797000000001</v>
      </c>
      <c r="K90" s="2">
        <v>2.2550452000000001</v>
      </c>
      <c r="L90" s="2">
        <v>0.4468261</v>
      </c>
      <c r="M90" s="2">
        <v>0.61634920000000004</v>
      </c>
      <c r="N90" s="2">
        <v>2.2465920000000001</v>
      </c>
      <c r="O90" s="2">
        <v>1.107529</v>
      </c>
      <c r="P90" s="2">
        <v>1.8570647</v>
      </c>
      <c r="Q90" s="2">
        <v>1.368550333</v>
      </c>
      <c r="R90" s="2">
        <v>1.323490067</v>
      </c>
      <c r="S90" s="2">
        <v>9.9331858999999998</v>
      </c>
      <c r="T90" s="2">
        <f t="shared" si="2"/>
        <v>0.99708856338763718</v>
      </c>
      <c r="U90">
        <v>0.82760004810242105</v>
      </c>
      <c r="V90">
        <v>0.809976510103952</v>
      </c>
      <c r="W90" t="s">
        <v>304</v>
      </c>
      <c r="X90" t="s">
        <v>117</v>
      </c>
      <c r="AB90" s="6" t="b">
        <v>0</v>
      </c>
      <c r="AC90" t="s">
        <v>303</v>
      </c>
    </row>
    <row r="91" spans="1:29" x14ac:dyDescent="0.2">
      <c r="A91" t="s">
        <v>418</v>
      </c>
      <c r="B91" t="s">
        <v>419</v>
      </c>
      <c r="C91" t="s">
        <v>31</v>
      </c>
      <c r="D91" t="s">
        <v>32</v>
      </c>
      <c r="E91" t="s">
        <v>33</v>
      </c>
      <c r="F91" t="s">
        <v>34</v>
      </c>
      <c r="G91" t="s">
        <v>420</v>
      </c>
      <c r="H91" t="s">
        <v>54</v>
      </c>
      <c r="I91" t="s">
        <v>54</v>
      </c>
      <c r="J91" s="2">
        <v>0.18738152</v>
      </c>
      <c r="K91" s="2">
        <v>0.25052086000000001</v>
      </c>
      <c r="L91" s="2">
        <v>9.9418259999999994E-2</v>
      </c>
      <c r="M91" s="2">
        <v>0.84635353000000002</v>
      </c>
      <c r="N91" s="2">
        <v>0.47834434999999997</v>
      </c>
      <c r="O91" s="2">
        <v>0.77897304000000001</v>
      </c>
      <c r="P91" s="2">
        <v>0</v>
      </c>
      <c r="Q91" s="2">
        <v>0.17910688</v>
      </c>
      <c r="R91" s="2">
        <v>0.70122364000000004</v>
      </c>
      <c r="S91" s="2">
        <v>2.6409915599999998</v>
      </c>
      <c r="T91" s="2">
        <f t="shared" si="2"/>
        <v>0.42176701330412802</v>
      </c>
      <c r="U91">
        <v>4.2280610308769697</v>
      </c>
      <c r="V91">
        <v>11.484174648488001</v>
      </c>
      <c r="W91" t="s">
        <v>196</v>
      </c>
      <c r="X91" t="s">
        <v>39</v>
      </c>
      <c r="AB91" s="6" t="b">
        <v>0</v>
      </c>
      <c r="AC91" t="s">
        <v>54</v>
      </c>
    </row>
    <row r="92" spans="1:29" x14ac:dyDescent="0.2">
      <c r="A92" t="s">
        <v>421</v>
      </c>
      <c r="B92" t="s">
        <v>422</v>
      </c>
      <c r="C92" t="s">
        <v>31</v>
      </c>
      <c r="D92" t="s">
        <v>307</v>
      </c>
      <c r="E92" t="s">
        <v>423</v>
      </c>
      <c r="F92" t="s">
        <v>424</v>
      </c>
      <c r="G92" t="s">
        <v>424</v>
      </c>
      <c r="H92" t="s">
        <v>54</v>
      </c>
      <c r="I92" t="s">
        <v>54</v>
      </c>
      <c r="J92" s="2">
        <v>0.33405829999999997</v>
      </c>
      <c r="K92" s="2">
        <v>0.96223104000000004</v>
      </c>
      <c r="L92" s="2">
        <v>0</v>
      </c>
      <c r="M92" s="2">
        <v>0</v>
      </c>
      <c r="N92" s="2">
        <v>0.23195091000000001</v>
      </c>
      <c r="O92" s="2">
        <v>0</v>
      </c>
      <c r="P92" s="2">
        <v>2.7925386999999999E-2</v>
      </c>
      <c r="Q92" s="2">
        <v>0.43209644699999999</v>
      </c>
      <c r="R92" s="2">
        <v>7.7316969999999999E-2</v>
      </c>
      <c r="S92" s="2">
        <v>1.5561656370000001</v>
      </c>
      <c r="T92" s="2">
        <f t="shared" si="2"/>
        <v>0.19205582106408103</v>
      </c>
      <c r="U92">
        <v>5.2434268291452</v>
      </c>
      <c r="V92">
        <v>1.59705799843553</v>
      </c>
      <c r="W92" t="s">
        <v>196</v>
      </c>
      <c r="X92" t="s">
        <v>312</v>
      </c>
      <c r="AB92" s="6" t="b">
        <v>0</v>
      </c>
      <c r="AC92" t="s">
        <v>54</v>
      </c>
    </row>
    <row r="93" spans="1:29" x14ac:dyDescent="0.2">
      <c r="A93" t="s">
        <v>425</v>
      </c>
      <c r="B93" t="s">
        <v>426</v>
      </c>
      <c r="C93" t="s">
        <v>31</v>
      </c>
      <c r="D93" t="s">
        <v>111</v>
      </c>
      <c r="E93" t="s">
        <v>112</v>
      </c>
      <c r="F93" t="s">
        <v>427</v>
      </c>
      <c r="G93" t="s">
        <v>428</v>
      </c>
      <c r="H93" t="s">
        <v>428</v>
      </c>
      <c r="I93" t="s">
        <v>54</v>
      </c>
      <c r="J93" s="2">
        <v>0.47575316000000001</v>
      </c>
      <c r="K93" s="2">
        <v>0.38096809999999998</v>
      </c>
      <c r="L93" s="2">
        <v>8.1540180000000004E-2</v>
      </c>
      <c r="M93" s="2">
        <v>5.4384189999999999E-2</v>
      </c>
      <c r="N93" s="2">
        <v>0.20408066</v>
      </c>
      <c r="O93" s="2">
        <v>6.5677050000000001E-2</v>
      </c>
      <c r="P93" s="2">
        <v>1.0332885000000001</v>
      </c>
      <c r="Q93" s="2">
        <v>0.31275381299999999</v>
      </c>
      <c r="R93" s="2">
        <v>0.1080473</v>
      </c>
      <c r="S93" s="2">
        <v>2.2956918399999999</v>
      </c>
      <c r="T93" s="2">
        <f t="shared" si="2"/>
        <v>0.3609135905336191</v>
      </c>
      <c r="U93">
        <v>0.42170243740458402</v>
      </c>
      <c r="V93">
        <v>0.19992600784803699</v>
      </c>
      <c r="W93" t="s">
        <v>429</v>
      </c>
      <c r="X93" t="s">
        <v>117</v>
      </c>
      <c r="AB93" s="6" t="b">
        <v>0</v>
      </c>
      <c r="AC93" t="s">
        <v>428</v>
      </c>
    </row>
    <row r="94" spans="1:29" x14ac:dyDescent="0.2">
      <c r="A94" t="s">
        <v>430</v>
      </c>
      <c r="B94" t="s">
        <v>336</v>
      </c>
      <c r="C94" t="s">
        <v>31</v>
      </c>
      <c r="D94" t="s">
        <v>272</v>
      </c>
      <c r="E94" t="s">
        <v>273</v>
      </c>
      <c r="F94" t="s">
        <v>332</v>
      </c>
      <c r="G94" t="s">
        <v>337</v>
      </c>
      <c r="H94" t="s">
        <v>338</v>
      </c>
      <c r="I94" t="s">
        <v>54</v>
      </c>
      <c r="J94" s="2">
        <v>0.25546148000000002</v>
      </c>
      <c r="K94" s="2">
        <v>0.21420233</v>
      </c>
      <c r="L94" s="2">
        <v>0.14114904</v>
      </c>
      <c r="M94" s="2">
        <v>0.25091754999999999</v>
      </c>
      <c r="N94" s="2">
        <v>0.23488624</v>
      </c>
      <c r="O94" s="2">
        <v>0.17713813</v>
      </c>
      <c r="P94" s="2">
        <v>0.90632009999999996</v>
      </c>
      <c r="Q94" s="2">
        <v>0.203604283</v>
      </c>
      <c r="R94" s="2">
        <v>0.22098064000000001</v>
      </c>
      <c r="S94" s="2">
        <v>2.1800748699999999</v>
      </c>
      <c r="T94" s="2">
        <f t="shared" si="2"/>
        <v>0.33847140877410659</v>
      </c>
      <c r="U94">
        <v>0.33681202026434398</v>
      </c>
      <c r="V94">
        <v>0.35732557274996302</v>
      </c>
      <c r="W94" t="s">
        <v>339</v>
      </c>
      <c r="X94" t="s">
        <v>278</v>
      </c>
      <c r="AA94" s="6">
        <f>(207+70)/11</f>
        <v>25.181818181818183</v>
      </c>
      <c r="AB94" s="6" t="b">
        <v>0</v>
      </c>
      <c r="AC94" t="s">
        <v>340</v>
      </c>
    </row>
    <row r="95" spans="1:29" x14ac:dyDescent="0.2">
      <c r="A95" t="s">
        <v>431</v>
      </c>
      <c r="B95" t="s">
        <v>336</v>
      </c>
      <c r="C95" t="s">
        <v>31</v>
      </c>
      <c r="D95" t="s">
        <v>272</v>
      </c>
      <c r="E95" t="s">
        <v>273</v>
      </c>
      <c r="F95" t="s">
        <v>332</v>
      </c>
      <c r="G95" t="s">
        <v>337</v>
      </c>
      <c r="H95" t="s">
        <v>338</v>
      </c>
      <c r="I95" t="s">
        <v>54</v>
      </c>
      <c r="J95" s="2">
        <v>0.26303670000000001</v>
      </c>
      <c r="K95" s="2">
        <v>0.2304631</v>
      </c>
      <c r="L95" s="2">
        <v>0.14393001999999999</v>
      </c>
      <c r="M95" s="2">
        <v>0.19701563</v>
      </c>
      <c r="N95" s="2">
        <v>0.25097933</v>
      </c>
      <c r="O95" s="2">
        <v>0.24014922999999999</v>
      </c>
      <c r="P95" s="2">
        <v>0.92119600000000001</v>
      </c>
      <c r="Q95" s="2">
        <v>0.21247660700000001</v>
      </c>
      <c r="R95" s="2">
        <v>0.22938139699999999</v>
      </c>
      <c r="S95" s="2">
        <v>2.2467700100000001</v>
      </c>
      <c r="T95" s="2">
        <f t="shared" si="2"/>
        <v>0.35155861825803131</v>
      </c>
      <c r="U95">
        <v>0.34344452602115599</v>
      </c>
      <c r="V95">
        <v>0.36304448404780998</v>
      </c>
      <c r="W95" t="s">
        <v>339</v>
      </c>
      <c r="X95" t="s">
        <v>278</v>
      </c>
      <c r="AA95" s="6">
        <f>(207+70)/11</f>
        <v>25.181818181818183</v>
      </c>
      <c r="AB95" s="6" t="b">
        <v>0</v>
      </c>
      <c r="AC95" t="s">
        <v>340</v>
      </c>
    </row>
    <row r="96" spans="1:29" x14ac:dyDescent="0.2">
      <c r="A96" t="s">
        <v>432</v>
      </c>
      <c r="B96" t="s">
        <v>346</v>
      </c>
      <c r="C96" t="s">
        <v>31</v>
      </c>
      <c r="D96" t="s">
        <v>193</v>
      </c>
      <c r="E96" t="s">
        <v>194</v>
      </c>
      <c r="F96" t="s">
        <v>239</v>
      </c>
      <c r="G96" t="s">
        <v>239</v>
      </c>
      <c r="H96" t="s">
        <v>239</v>
      </c>
      <c r="I96" t="s">
        <v>347</v>
      </c>
      <c r="J96" s="2">
        <v>0.78742033</v>
      </c>
      <c r="K96" s="2">
        <v>0.7419791</v>
      </c>
      <c r="L96" s="2">
        <v>0.22158447000000001</v>
      </c>
      <c r="M96" s="2">
        <v>0.28949390000000003</v>
      </c>
      <c r="N96" s="2">
        <v>0.57848520000000003</v>
      </c>
      <c r="O96" s="2">
        <v>0.31729600000000002</v>
      </c>
      <c r="P96" s="2">
        <v>1.0821421</v>
      </c>
      <c r="Q96" s="2">
        <v>0.58366130000000005</v>
      </c>
      <c r="R96" s="2">
        <v>0.39509169999999999</v>
      </c>
      <c r="S96" s="2">
        <v>4.0184011000000002</v>
      </c>
      <c r="T96" s="2">
        <f t="shared" si="2"/>
        <v>0.60405328403559222</v>
      </c>
      <c r="U96">
        <v>0.64827115088200304</v>
      </c>
      <c r="V96">
        <v>0.486276020179013</v>
      </c>
      <c r="W96" t="s">
        <v>240</v>
      </c>
      <c r="X96" t="s">
        <v>197</v>
      </c>
      <c r="AB96" s="6" t="b">
        <v>0</v>
      </c>
      <c r="AC96" t="s">
        <v>239</v>
      </c>
    </row>
    <row r="97" spans="1:29" x14ac:dyDescent="0.2">
      <c r="A97" t="s">
        <v>433</v>
      </c>
      <c r="B97" t="s">
        <v>434</v>
      </c>
      <c r="C97" t="s">
        <v>31</v>
      </c>
      <c r="D97" t="s">
        <v>111</v>
      </c>
      <c r="E97" t="s">
        <v>112</v>
      </c>
      <c r="F97" t="s">
        <v>301</v>
      </c>
      <c r="G97" t="s">
        <v>302</v>
      </c>
      <c r="H97" t="s">
        <v>435</v>
      </c>
      <c r="I97" t="s">
        <v>54</v>
      </c>
      <c r="J97" s="2">
        <v>0.20522755000000001</v>
      </c>
      <c r="K97" s="2">
        <v>0.39923019999999998</v>
      </c>
      <c r="L97" s="2">
        <v>1.7127119E-2</v>
      </c>
      <c r="M97" s="2">
        <v>0</v>
      </c>
      <c r="N97" s="2">
        <v>0.57940320000000001</v>
      </c>
      <c r="O97" s="2">
        <v>6.9688520000000004E-2</v>
      </c>
      <c r="P97" s="2">
        <v>5.5502339999999997E-2</v>
      </c>
      <c r="Q97" s="2">
        <v>0.20719495600000001</v>
      </c>
      <c r="R97" s="2">
        <v>0.21636390699999999</v>
      </c>
      <c r="S97" s="2">
        <v>1.3261789289999999</v>
      </c>
      <c r="T97" s="2">
        <f t="shared" si="2"/>
        <v>0.12260212334093815</v>
      </c>
      <c r="U97">
        <v>2.28198787157941</v>
      </c>
      <c r="V97">
        <v>2.3544377878164999</v>
      </c>
      <c r="W97" t="s">
        <v>436</v>
      </c>
      <c r="X97" t="s">
        <v>117</v>
      </c>
      <c r="AB97" s="6" t="b">
        <v>0</v>
      </c>
      <c r="AC97" t="s">
        <v>435</v>
      </c>
    </row>
    <row r="98" spans="1:29" x14ac:dyDescent="0.2">
      <c r="A98" t="s">
        <v>437</v>
      </c>
      <c r="B98" t="s">
        <v>438</v>
      </c>
      <c r="C98" t="s">
        <v>31</v>
      </c>
      <c r="D98" t="s">
        <v>111</v>
      </c>
      <c r="E98" t="s">
        <v>247</v>
      </c>
      <c r="F98" t="s">
        <v>439</v>
      </c>
      <c r="G98" t="s">
        <v>440</v>
      </c>
      <c r="H98" t="s">
        <v>440</v>
      </c>
      <c r="I98" t="s">
        <v>54</v>
      </c>
      <c r="J98" s="2">
        <v>0.42793047000000001</v>
      </c>
      <c r="K98" s="2">
        <v>0.79489785000000002</v>
      </c>
      <c r="L98" s="2">
        <v>4.931228E-2</v>
      </c>
      <c r="M98" s="2">
        <v>0</v>
      </c>
      <c r="N98" s="2">
        <v>0.11648628</v>
      </c>
      <c r="O98" s="2">
        <v>7.1504209999999999E-2</v>
      </c>
      <c r="P98" s="2">
        <v>0.20562570999999999</v>
      </c>
      <c r="Q98" s="2">
        <v>0.42404686699999999</v>
      </c>
      <c r="R98" s="2">
        <v>6.2663496999999999E-2</v>
      </c>
      <c r="S98" s="2">
        <v>1.6657568</v>
      </c>
      <c r="T98" s="2">
        <f t="shared" si="2"/>
        <v>0.22161159483313461</v>
      </c>
      <c r="U98">
        <v>1.70454128769572</v>
      </c>
      <c r="V98">
        <v>0.46898388429744398</v>
      </c>
      <c r="W98" t="s">
        <v>441</v>
      </c>
      <c r="X98" t="s">
        <v>117</v>
      </c>
      <c r="AB98" s="6" t="b">
        <v>0</v>
      </c>
      <c r="AC98" t="s">
        <v>440</v>
      </c>
    </row>
    <row r="99" spans="1:29" x14ac:dyDescent="0.2">
      <c r="A99" t="s">
        <v>442</v>
      </c>
      <c r="B99" t="s">
        <v>234</v>
      </c>
      <c r="C99" t="s">
        <v>31</v>
      </c>
      <c r="D99" t="s">
        <v>111</v>
      </c>
      <c r="E99" t="s">
        <v>112</v>
      </c>
      <c r="F99" t="s">
        <v>235</v>
      </c>
      <c r="G99" t="s">
        <v>235</v>
      </c>
      <c r="H99" t="s">
        <v>235</v>
      </c>
      <c r="I99" t="s">
        <v>54</v>
      </c>
      <c r="J99" s="2">
        <v>0.59096789999999999</v>
      </c>
      <c r="K99" s="2">
        <v>0.48754682999999999</v>
      </c>
      <c r="L99" s="2">
        <v>0</v>
      </c>
      <c r="M99" s="2">
        <v>0</v>
      </c>
      <c r="N99" s="2">
        <v>0.30320533999999999</v>
      </c>
      <c r="O99" s="2">
        <v>0</v>
      </c>
      <c r="P99" s="2">
        <v>0</v>
      </c>
      <c r="Q99" s="2">
        <v>0.35950491000000001</v>
      </c>
      <c r="R99" s="2">
        <v>0.10106844700000001</v>
      </c>
      <c r="S99" s="2">
        <v>1.3817200700000001</v>
      </c>
      <c r="T99" s="2">
        <f t="shared" ref="T99:T130" si="3">LOG10(S99)</f>
        <v>0.14042006592642031</v>
      </c>
      <c r="U99">
        <v>7.0349940590238296</v>
      </c>
      <c r="V99">
        <v>2.88358520177739</v>
      </c>
      <c r="W99" t="s">
        <v>236</v>
      </c>
      <c r="X99" t="s">
        <v>117</v>
      </c>
      <c r="AB99" s="6" t="b">
        <v>0</v>
      </c>
      <c r="AC99" t="s">
        <v>235</v>
      </c>
    </row>
    <row r="100" spans="1:29" x14ac:dyDescent="0.2">
      <c r="A100" t="s">
        <v>443</v>
      </c>
      <c r="B100" t="s">
        <v>444</v>
      </c>
      <c r="C100" t="s">
        <v>31</v>
      </c>
      <c r="D100" t="s">
        <v>32</v>
      </c>
      <c r="E100" t="s">
        <v>33</v>
      </c>
      <c r="F100" t="s">
        <v>445</v>
      </c>
      <c r="G100" t="s">
        <v>446</v>
      </c>
      <c r="H100" t="s">
        <v>447</v>
      </c>
      <c r="I100" t="s">
        <v>448</v>
      </c>
      <c r="J100" s="2">
        <v>0.18506412</v>
      </c>
      <c r="K100" s="2">
        <v>0.106716834</v>
      </c>
      <c r="L100" s="2">
        <v>0.24669641</v>
      </c>
      <c r="M100" s="2">
        <v>0.24388282</v>
      </c>
      <c r="N100" s="2">
        <v>6.5515939999999995E-2</v>
      </c>
      <c r="O100" s="2">
        <v>5.3022575000000002E-2</v>
      </c>
      <c r="P100" s="2">
        <v>1.1695312</v>
      </c>
      <c r="Q100" s="2">
        <v>0.179492455</v>
      </c>
      <c r="R100" s="2">
        <v>0.12080711199999999</v>
      </c>
      <c r="S100" s="2">
        <v>2.0704298990000001</v>
      </c>
      <c r="T100" s="2">
        <f t="shared" si="3"/>
        <v>0.31606053066410689</v>
      </c>
      <c r="U100">
        <v>0.25912765822107597</v>
      </c>
      <c r="V100">
        <v>0.197785201253774</v>
      </c>
      <c r="W100" t="s">
        <v>449</v>
      </c>
      <c r="X100" t="s">
        <v>39</v>
      </c>
      <c r="AB100" s="6" t="b">
        <v>0</v>
      </c>
      <c r="AC100" t="s">
        <v>447</v>
      </c>
    </row>
    <row r="101" spans="1:29" x14ac:dyDescent="0.2">
      <c r="A101" t="s">
        <v>450</v>
      </c>
      <c r="B101" t="s">
        <v>336</v>
      </c>
      <c r="C101" t="s">
        <v>31</v>
      </c>
      <c r="D101" t="s">
        <v>272</v>
      </c>
      <c r="E101" t="s">
        <v>273</v>
      </c>
      <c r="F101" t="s">
        <v>332</v>
      </c>
      <c r="G101" t="s">
        <v>337</v>
      </c>
      <c r="H101" t="s">
        <v>338</v>
      </c>
      <c r="I101" t="s">
        <v>54</v>
      </c>
      <c r="J101" s="2">
        <v>0.25225376999999999</v>
      </c>
      <c r="K101" s="2">
        <v>0.21692007999999999</v>
      </c>
      <c r="L101" s="2">
        <v>0.20435550999999999</v>
      </c>
      <c r="M101" s="2">
        <v>0.19119897</v>
      </c>
      <c r="N101" s="2">
        <v>0.23850518000000001</v>
      </c>
      <c r="O101" s="2">
        <v>0.17855625999999999</v>
      </c>
      <c r="P101" s="2">
        <v>0.87125830000000004</v>
      </c>
      <c r="Q101" s="2">
        <v>0.22450978699999999</v>
      </c>
      <c r="R101" s="2">
        <v>0.20275346999999999</v>
      </c>
      <c r="S101" s="2">
        <v>2.1530480700000001</v>
      </c>
      <c r="T101" s="2">
        <f t="shared" si="3"/>
        <v>0.33305372620188645</v>
      </c>
      <c r="U101">
        <v>0.37146849688170003</v>
      </c>
      <c r="V101">
        <v>0.34510059851480002</v>
      </c>
      <c r="W101" t="s">
        <v>339</v>
      </c>
      <c r="X101" t="s">
        <v>278</v>
      </c>
      <c r="AA101" s="6">
        <f>(207+70)/11</f>
        <v>25.181818181818183</v>
      </c>
      <c r="AB101" s="6" t="b">
        <v>0</v>
      </c>
      <c r="AC101" t="s">
        <v>340</v>
      </c>
    </row>
    <row r="102" spans="1:29" x14ac:dyDescent="0.2">
      <c r="A102" t="s">
        <v>451</v>
      </c>
      <c r="B102" t="s">
        <v>452</v>
      </c>
      <c r="C102" t="s">
        <v>31</v>
      </c>
      <c r="D102" t="s">
        <v>111</v>
      </c>
      <c r="E102" t="s">
        <v>112</v>
      </c>
      <c r="F102" t="s">
        <v>113</v>
      </c>
      <c r="G102" t="s">
        <v>114</v>
      </c>
      <c r="H102" t="s">
        <v>453</v>
      </c>
      <c r="I102" t="s">
        <v>54</v>
      </c>
      <c r="J102" s="2">
        <v>0.56704659999999996</v>
      </c>
      <c r="K102" s="2">
        <v>0.50636583999999996</v>
      </c>
      <c r="L102" s="2">
        <v>0.22167891000000001</v>
      </c>
      <c r="M102" s="2">
        <v>0.11944447</v>
      </c>
      <c r="N102" s="2">
        <v>0.33191267000000002</v>
      </c>
      <c r="O102" s="2">
        <v>0.18473840999999999</v>
      </c>
      <c r="P102" s="2">
        <v>1.0673756999999999</v>
      </c>
      <c r="Q102" s="2">
        <v>0.43169711700000002</v>
      </c>
      <c r="R102" s="2">
        <v>0.21203184999999999</v>
      </c>
      <c r="S102" s="2">
        <v>2.9985626000000001</v>
      </c>
      <c r="T102" s="2">
        <f t="shared" si="3"/>
        <v>0.47691311989074997</v>
      </c>
      <c r="U102">
        <v>0.52412683740843102</v>
      </c>
      <c r="V102">
        <v>0.31022393863978698</v>
      </c>
      <c r="W102" t="s">
        <v>454</v>
      </c>
      <c r="X102" t="s">
        <v>117</v>
      </c>
      <c r="AB102" s="6" t="b">
        <v>0</v>
      </c>
      <c r="AC102" t="s">
        <v>453</v>
      </c>
    </row>
    <row r="103" spans="1:29" x14ac:dyDescent="0.2">
      <c r="A103" t="s">
        <v>455</v>
      </c>
      <c r="B103" t="s">
        <v>456</v>
      </c>
      <c r="C103" t="s">
        <v>31</v>
      </c>
      <c r="D103" t="s">
        <v>321</v>
      </c>
      <c r="E103" t="s">
        <v>457</v>
      </c>
      <c r="F103" t="s">
        <v>458</v>
      </c>
      <c r="G103" t="s">
        <v>459</v>
      </c>
      <c r="H103" t="s">
        <v>460</v>
      </c>
      <c r="I103" t="s">
        <v>54</v>
      </c>
      <c r="J103" s="2">
        <v>2.6261348E-2</v>
      </c>
      <c r="K103" s="2">
        <v>2.2027531999999999E-2</v>
      </c>
      <c r="L103" s="2">
        <v>0</v>
      </c>
      <c r="M103" s="2">
        <v>0</v>
      </c>
      <c r="N103" s="2">
        <v>5.1439105999999998E-2</v>
      </c>
      <c r="O103" s="2">
        <v>0.6220852</v>
      </c>
      <c r="P103" s="2">
        <v>0</v>
      </c>
      <c r="Q103" s="2">
        <v>1.6096293000000001E-2</v>
      </c>
      <c r="R103" s="2">
        <v>0.22450810199999999</v>
      </c>
      <c r="S103" s="2">
        <v>0.721813186</v>
      </c>
      <c r="T103" s="2">
        <f t="shared" si="3"/>
        <v>-0.14157518856255824</v>
      </c>
      <c r="U103">
        <v>1.31181466383762</v>
      </c>
      <c r="V103">
        <v>4.9715000132863301</v>
      </c>
      <c r="W103" t="s">
        <v>461</v>
      </c>
      <c r="X103" t="s">
        <v>327</v>
      </c>
      <c r="AB103" s="6" t="b">
        <v>0</v>
      </c>
      <c r="AC103" t="s">
        <v>460</v>
      </c>
    </row>
    <row r="104" spans="1:29" x14ac:dyDescent="0.2">
      <c r="A104" t="s">
        <v>462</v>
      </c>
      <c r="B104" t="s">
        <v>463</v>
      </c>
      <c r="C104" t="s">
        <v>31</v>
      </c>
      <c r="D104" t="s">
        <v>464</v>
      </c>
      <c r="E104" t="s">
        <v>465</v>
      </c>
      <c r="F104" t="s">
        <v>466</v>
      </c>
      <c r="G104" t="s">
        <v>466</v>
      </c>
      <c r="H104" t="s">
        <v>54</v>
      </c>
      <c r="I104" t="s">
        <v>54</v>
      </c>
      <c r="J104" s="2">
        <v>0.32495126000000002</v>
      </c>
      <c r="K104" s="2">
        <v>0.33357291999999999</v>
      </c>
      <c r="L104" s="2">
        <v>0.36595749999999999</v>
      </c>
      <c r="M104" s="2">
        <v>0.35923876999999999</v>
      </c>
      <c r="N104" s="2">
        <v>0.27030622999999998</v>
      </c>
      <c r="O104" s="2">
        <v>0.27891302000000001</v>
      </c>
      <c r="P104" s="2">
        <v>2.1009693</v>
      </c>
      <c r="Q104" s="2">
        <v>0.34149389299999999</v>
      </c>
      <c r="R104" s="2">
        <v>0.30281933999999999</v>
      </c>
      <c r="S104" s="2">
        <v>4.0339090000000004</v>
      </c>
      <c r="T104" s="2">
        <f t="shared" si="3"/>
        <v>0.60572609684064849</v>
      </c>
      <c r="U104">
        <v>0.28785832545056</v>
      </c>
      <c r="V104">
        <v>0.26329890236570602</v>
      </c>
      <c r="W104" t="s">
        <v>196</v>
      </c>
      <c r="X104" t="s">
        <v>467</v>
      </c>
      <c r="AB104" s="6" t="b">
        <v>0</v>
      </c>
      <c r="AC104" t="s">
        <v>54</v>
      </c>
    </row>
    <row r="105" spans="1:29" x14ac:dyDescent="0.2">
      <c r="A105" t="s">
        <v>468</v>
      </c>
      <c r="B105" t="s">
        <v>469</v>
      </c>
      <c r="C105" t="s">
        <v>31</v>
      </c>
      <c r="D105" t="s">
        <v>222</v>
      </c>
      <c r="E105" t="s">
        <v>223</v>
      </c>
      <c r="F105" t="s">
        <v>224</v>
      </c>
      <c r="G105" t="s">
        <v>364</v>
      </c>
      <c r="H105" t="s">
        <v>470</v>
      </c>
      <c r="I105" t="s">
        <v>54</v>
      </c>
      <c r="J105" s="2">
        <v>0.46535579999999999</v>
      </c>
      <c r="K105" s="2">
        <v>8.6926155000000005E-2</v>
      </c>
      <c r="L105" s="2">
        <v>0</v>
      </c>
      <c r="M105" s="2">
        <v>0</v>
      </c>
      <c r="N105" s="2">
        <v>0.66481774999999999</v>
      </c>
      <c r="O105" s="2">
        <v>3.383075E-2</v>
      </c>
      <c r="P105" s="2">
        <v>0</v>
      </c>
      <c r="Q105" s="2">
        <v>0.18409398499999999</v>
      </c>
      <c r="R105" s="2">
        <v>0.23288283300000001</v>
      </c>
      <c r="S105" s="2">
        <v>1.250930455</v>
      </c>
      <c r="T105" s="2">
        <f t="shared" si="3"/>
        <v>9.723316592899886E-2</v>
      </c>
      <c r="U105">
        <v>4.3110550876083797</v>
      </c>
      <c r="V105">
        <v>5.1057372530462901</v>
      </c>
      <c r="W105" t="s">
        <v>471</v>
      </c>
      <c r="X105" t="s">
        <v>226</v>
      </c>
      <c r="AB105" s="6" t="b">
        <v>0</v>
      </c>
      <c r="AC105" t="s">
        <v>470</v>
      </c>
    </row>
    <row r="106" spans="1:29" x14ac:dyDescent="0.2">
      <c r="A106" t="s">
        <v>472</v>
      </c>
      <c r="B106" t="s">
        <v>267</v>
      </c>
      <c r="C106" t="s">
        <v>31</v>
      </c>
      <c r="D106" t="s">
        <v>111</v>
      </c>
      <c r="E106" t="s">
        <v>112</v>
      </c>
      <c r="F106" t="s">
        <v>113</v>
      </c>
      <c r="G106" t="s">
        <v>114</v>
      </c>
      <c r="H106" t="s">
        <v>268</v>
      </c>
      <c r="I106" t="s">
        <v>54</v>
      </c>
      <c r="J106" s="2">
        <v>0.69153540000000002</v>
      </c>
      <c r="K106" s="2">
        <v>0.487259</v>
      </c>
      <c r="L106" s="2">
        <v>4.4077407999999998E-2</v>
      </c>
      <c r="M106" s="2">
        <v>7.2135699999999997E-2</v>
      </c>
      <c r="N106" s="2">
        <v>0.14416092999999999</v>
      </c>
      <c r="O106" s="2">
        <v>4.5214049999999999E-2</v>
      </c>
      <c r="P106" s="2">
        <v>0.25544417000000003</v>
      </c>
      <c r="Q106" s="2">
        <v>0.40762393600000002</v>
      </c>
      <c r="R106" s="2">
        <v>8.7170227000000003E-2</v>
      </c>
      <c r="S106" s="2">
        <v>1.7398266579999999</v>
      </c>
      <c r="T106" s="2">
        <f t="shared" si="3"/>
        <v>0.24050598091238673</v>
      </c>
      <c r="U106">
        <v>1.4136825352165701</v>
      </c>
      <c r="V106">
        <v>0.482258975315078</v>
      </c>
      <c r="W106" t="s">
        <v>269</v>
      </c>
      <c r="X106" t="s">
        <v>117</v>
      </c>
      <c r="AB106" s="6" t="b">
        <v>0</v>
      </c>
      <c r="AC106" t="s">
        <v>268</v>
      </c>
    </row>
    <row r="107" spans="1:29" x14ac:dyDescent="0.2">
      <c r="A107" t="s">
        <v>473</v>
      </c>
      <c r="B107" t="s">
        <v>474</v>
      </c>
      <c r="C107" t="s">
        <v>31</v>
      </c>
      <c r="D107" t="s">
        <v>200</v>
      </c>
      <c r="E107" t="s">
        <v>475</v>
      </c>
      <c r="F107" t="s">
        <v>476</v>
      </c>
      <c r="G107" t="s">
        <v>477</v>
      </c>
      <c r="H107" t="s">
        <v>54</v>
      </c>
      <c r="I107" t="s">
        <v>54</v>
      </c>
      <c r="J107" s="2">
        <v>0.15464072000000001</v>
      </c>
      <c r="K107" s="2">
        <v>7.8451439999999997E-2</v>
      </c>
      <c r="L107" s="2">
        <v>0.14842074999999999</v>
      </c>
      <c r="M107" s="2">
        <v>0.22460368</v>
      </c>
      <c r="N107" s="2">
        <v>5.2573700000000001E-2</v>
      </c>
      <c r="O107" s="2">
        <v>0.12330085</v>
      </c>
      <c r="P107" s="2">
        <v>1.0183157</v>
      </c>
      <c r="Q107" s="2">
        <v>0.12717096999999999</v>
      </c>
      <c r="R107" s="2">
        <v>0.133492743</v>
      </c>
      <c r="S107" s="2">
        <v>1.80030684</v>
      </c>
      <c r="T107" s="2">
        <f t="shared" si="3"/>
        <v>0.25534653152664827</v>
      </c>
      <c r="U107">
        <v>0.22444792890948001</v>
      </c>
      <c r="V107">
        <v>0.231817801273561</v>
      </c>
      <c r="W107" t="s">
        <v>196</v>
      </c>
      <c r="X107" t="s">
        <v>205</v>
      </c>
      <c r="AB107" s="6" t="b">
        <v>0</v>
      </c>
      <c r="AC107" t="s">
        <v>54</v>
      </c>
    </row>
    <row r="108" spans="1:29" x14ac:dyDescent="0.2">
      <c r="A108" t="s">
        <v>478</v>
      </c>
      <c r="B108" t="s">
        <v>479</v>
      </c>
      <c r="C108" t="s">
        <v>31</v>
      </c>
      <c r="D108" t="s">
        <v>395</v>
      </c>
      <c r="E108" t="s">
        <v>396</v>
      </c>
      <c r="F108" t="s">
        <v>396</v>
      </c>
      <c r="G108" t="s">
        <v>480</v>
      </c>
      <c r="H108" t="s">
        <v>481</v>
      </c>
      <c r="I108" t="s">
        <v>54</v>
      </c>
      <c r="J108" s="2">
        <v>0.57824737000000004</v>
      </c>
      <c r="K108" s="2">
        <v>0.82323986000000005</v>
      </c>
      <c r="L108" s="2">
        <v>0.3772915</v>
      </c>
      <c r="M108" s="2">
        <v>0.43121862</v>
      </c>
      <c r="N108" s="2">
        <v>0.16302170999999999</v>
      </c>
      <c r="O108" s="2">
        <v>0.20059315999999999</v>
      </c>
      <c r="P108" s="2">
        <v>2.6413760000000002</v>
      </c>
      <c r="Q108" s="2">
        <v>0.59292624299999996</v>
      </c>
      <c r="R108" s="2">
        <v>0.264944497</v>
      </c>
      <c r="S108" s="2">
        <v>5.2149882200000004</v>
      </c>
      <c r="T108" s="2">
        <f t="shared" si="3"/>
        <v>0.71725333174725248</v>
      </c>
      <c r="U108">
        <v>0.38015253977889102</v>
      </c>
      <c r="V108">
        <v>0.209643649574071</v>
      </c>
      <c r="W108" t="s">
        <v>482</v>
      </c>
      <c r="X108" t="s">
        <v>401</v>
      </c>
      <c r="AB108" s="6" t="b">
        <v>0</v>
      </c>
      <c r="AC108" t="s">
        <v>481</v>
      </c>
    </row>
    <row r="109" spans="1:29" x14ac:dyDescent="0.2">
      <c r="A109" t="s">
        <v>483</v>
      </c>
      <c r="B109" t="s">
        <v>484</v>
      </c>
      <c r="C109" t="s">
        <v>31</v>
      </c>
      <c r="D109" t="s">
        <v>32</v>
      </c>
      <c r="E109" t="s">
        <v>120</v>
      </c>
      <c r="F109" t="s">
        <v>485</v>
      </c>
      <c r="G109" t="s">
        <v>486</v>
      </c>
      <c r="H109" t="s">
        <v>487</v>
      </c>
      <c r="I109" t="s">
        <v>54</v>
      </c>
      <c r="J109" s="2">
        <v>6.1449047E-2</v>
      </c>
      <c r="K109" s="2">
        <v>5.747712E-2</v>
      </c>
      <c r="L109" s="2">
        <v>6.6660499999999998E-2</v>
      </c>
      <c r="M109" s="2">
        <v>6.0309323999999997E-2</v>
      </c>
      <c r="N109" s="2">
        <v>5.8173410000000002E-2</v>
      </c>
      <c r="O109" s="2">
        <v>4.5330346000000001E-2</v>
      </c>
      <c r="P109" s="2">
        <v>0.93240917000000001</v>
      </c>
      <c r="Q109" s="2">
        <v>6.1862222000000001E-2</v>
      </c>
      <c r="R109" s="2">
        <v>5.4604359999999998E-2</v>
      </c>
      <c r="S109" s="2">
        <v>1.281808917</v>
      </c>
      <c r="T109" s="2">
        <f t="shared" si="3"/>
        <v>0.10782328846073722</v>
      </c>
      <c r="U109">
        <v>0.15495293694551901</v>
      </c>
      <c r="V109">
        <v>0.145382663067254</v>
      </c>
      <c r="W109" t="s">
        <v>488</v>
      </c>
      <c r="X109" t="s">
        <v>39</v>
      </c>
      <c r="Y109">
        <v>1</v>
      </c>
      <c r="Z109">
        <v>85</v>
      </c>
      <c r="AB109" s="6" t="b">
        <v>0</v>
      </c>
      <c r="AC109" t="s">
        <v>487</v>
      </c>
    </row>
    <row r="110" spans="1:29" x14ac:dyDescent="0.2">
      <c r="A110" t="s">
        <v>489</v>
      </c>
      <c r="B110" t="s">
        <v>490</v>
      </c>
      <c r="C110" t="s">
        <v>31</v>
      </c>
      <c r="D110" t="s">
        <v>111</v>
      </c>
      <c r="E110" t="s">
        <v>491</v>
      </c>
      <c r="F110" t="s">
        <v>492</v>
      </c>
      <c r="G110" t="s">
        <v>493</v>
      </c>
      <c r="H110" t="s">
        <v>494</v>
      </c>
      <c r="I110" t="s">
        <v>54</v>
      </c>
      <c r="J110" s="2">
        <v>2.4194900000000001</v>
      </c>
      <c r="K110" s="2">
        <v>5.4697529999999999</v>
      </c>
      <c r="L110" s="2">
        <v>0.12507636999999999</v>
      </c>
      <c r="M110" s="2">
        <v>5.7818429999999997E-2</v>
      </c>
      <c r="N110" s="2">
        <v>4.4327664000000002</v>
      </c>
      <c r="O110" s="2">
        <v>3.4628887000000002</v>
      </c>
      <c r="P110" s="2">
        <v>0.30199179999999998</v>
      </c>
      <c r="Q110" s="2">
        <v>2.67143979</v>
      </c>
      <c r="R110" s="2">
        <v>2.651157843</v>
      </c>
      <c r="S110" s="2">
        <v>16.269784699999999</v>
      </c>
      <c r="T110" s="2">
        <f t="shared" si="3"/>
        <v>1.2113818059042452</v>
      </c>
      <c r="U110">
        <v>4.3574354147440397</v>
      </c>
      <c r="V110">
        <v>4.3393143450607097</v>
      </c>
      <c r="W110" t="s">
        <v>495</v>
      </c>
      <c r="X110" t="s">
        <v>117</v>
      </c>
      <c r="AB110" s="6" t="b">
        <v>0</v>
      </c>
      <c r="AC110" t="s">
        <v>494</v>
      </c>
    </row>
    <row r="111" spans="1:29" x14ac:dyDescent="0.2">
      <c r="A111" t="s">
        <v>496</v>
      </c>
      <c r="B111" t="s">
        <v>434</v>
      </c>
      <c r="C111" t="s">
        <v>31</v>
      </c>
      <c r="D111" t="s">
        <v>111</v>
      </c>
      <c r="E111" t="s">
        <v>112</v>
      </c>
      <c r="F111" t="s">
        <v>301</v>
      </c>
      <c r="G111" t="s">
        <v>302</v>
      </c>
      <c r="H111" t="s">
        <v>435</v>
      </c>
      <c r="I111" t="s">
        <v>54</v>
      </c>
      <c r="J111" s="2">
        <v>0.17488194000000001</v>
      </c>
      <c r="K111" s="2">
        <v>0.44928244000000001</v>
      </c>
      <c r="L111" s="2">
        <v>0</v>
      </c>
      <c r="M111" s="2">
        <v>0</v>
      </c>
      <c r="N111" s="2">
        <v>0.39594109999999999</v>
      </c>
      <c r="O111" s="2">
        <v>5.8368225000000003E-2</v>
      </c>
      <c r="P111" s="2">
        <v>3.5727262000000003E-2</v>
      </c>
      <c r="Q111" s="2">
        <v>0.20805479299999999</v>
      </c>
      <c r="R111" s="2">
        <v>0.151436442</v>
      </c>
      <c r="S111" s="2">
        <v>1.1142009669999999</v>
      </c>
      <c r="T111" s="2">
        <f t="shared" si="3"/>
        <v>4.6963531041914204E-2</v>
      </c>
      <c r="U111">
        <v>2.7910829592473601</v>
      </c>
      <c r="V111">
        <v>2.2312190193405099</v>
      </c>
      <c r="W111" t="s">
        <v>436</v>
      </c>
      <c r="X111" t="s">
        <v>117</v>
      </c>
      <c r="AB111" s="6" t="b">
        <v>0</v>
      </c>
      <c r="AC111" t="s">
        <v>435</v>
      </c>
    </row>
    <row r="112" spans="1:29" x14ac:dyDescent="0.2">
      <c r="A112" t="s">
        <v>497</v>
      </c>
      <c r="B112" t="s">
        <v>498</v>
      </c>
      <c r="C112" t="s">
        <v>31</v>
      </c>
      <c r="D112" t="s">
        <v>464</v>
      </c>
      <c r="E112" t="s">
        <v>499</v>
      </c>
      <c r="F112" t="s">
        <v>500</v>
      </c>
      <c r="G112" t="s">
        <v>501</v>
      </c>
      <c r="H112" t="s">
        <v>502</v>
      </c>
      <c r="I112" t="s">
        <v>54</v>
      </c>
      <c r="J112" s="2">
        <v>4.6955780000000003E-2</v>
      </c>
      <c r="K112" s="2">
        <v>1.305029</v>
      </c>
      <c r="L112" s="2">
        <v>1.3890741999999999E-2</v>
      </c>
      <c r="M112" s="2">
        <v>0</v>
      </c>
      <c r="N112" s="2">
        <v>0.30927208</v>
      </c>
      <c r="O112" s="2">
        <v>0</v>
      </c>
      <c r="P112" s="2">
        <v>0.19579009999999999</v>
      </c>
      <c r="Q112" s="2">
        <v>0.45529184099999997</v>
      </c>
      <c r="R112" s="2">
        <v>0.103090693</v>
      </c>
      <c r="S112" s="2">
        <v>1.870937702</v>
      </c>
      <c r="T112" s="2">
        <f t="shared" si="3"/>
        <v>0.27205932671536259</v>
      </c>
      <c r="U112">
        <v>1.86097689458618</v>
      </c>
      <c r="V112">
        <v>0.64815912435895795</v>
      </c>
      <c r="W112" t="s">
        <v>503</v>
      </c>
      <c r="X112" t="s">
        <v>467</v>
      </c>
      <c r="AB112" s="6" t="b">
        <v>0</v>
      </c>
      <c r="AC112" t="s">
        <v>502</v>
      </c>
    </row>
    <row r="113" spans="1:29" x14ac:dyDescent="0.2">
      <c r="A113" t="s">
        <v>504</v>
      </c>
      <c r="B113" t="s">
        <v>257</v>
      </c>
      <c r="C113" t="s">
        <v>31</v>
      </c>
      <c r="D113" t="s">
        <v>222</v>
      </c>
      <c r="E113" t="s">
        <v>223</v>
      </c>
      <c r="F113" t="s">
        <v>224</v>
      </c>
      <c r="G113" t="s">
        <v>258</v>
      </c>
      <c r="H113" t="s">
        <v>54</v>
      </c>
      <c r="I113" t="s">
        <v>54</v>
      </c>
      <c r="J113" s="2">
        <v>0.10095954</v>
      </c>
      <c r="K113" s="2">
        <v>6.3556950000000001E-2</v>
      </c>
      <c r="L113" s="2">
        <v>0.14856166000000001</v>
      </c>
      <c r="M113" s="2">
        <v>0.11843665</v>
      </c>
      <c r="N113" s="2">
        <v>6.5503165000000002E-2</v>
      </c>
      <c r="O113" s="2">
        <v>0.10975627</v>
      </c>
      <c r="P113" s="2">
        <v>1.0586158999999999</v>
      </c>
      <c r="Q113" s="2">
        <v>0.104359383</v>
      </c>
      <c r="R113" s="2">
        <v>9.7898694999999994E-2</v>
      </c>
      <c r="S113" s="2">
        <v>1.665390135</v>
      </c>
      <c r="T113" s="2">
        <f t="shared" si="3"/>
        <v>0.22151598777048778</v>
      </c>
      <c r="U113">
        <v>0.192412107516925</v>
      </c>
      <c r="V113">
        <v>0.184888977252439</v>
      </c>
      <c r="W113" t="s">
        <v>196</v>
      </c>
      <c r="X113" t="s">
        <v>226</v>
      </c>
      <c r="AB113" s="6" t="b">
        <v>0</v>
      </c>
      <c r="AC113" t="s">
        <v>54</v>
      </c>
    </row>
    <row r="114" spans="1:29" x14ac:dyDescent="0.2">
      <c r="A114" t="s">
        <v>505</v>
      </c>
      <c r="B114" t="s">
        <v>506</v>
      </c>
      <c r="C114" t="s">
        <v>31</v>
      </c>
      <c r="D114" t="s">
        <v>464</v>
      </c>
      <c r="E114" t="s">
        <v>507</v>
      </c>
      <c r="F114" t="s">
        <v>508</v>
      </c>
      <c r="G114" t="s">
        <v>509</v>
      </c>
      <c r="H114" t="s">
        <v>510</v>
      </c>
      <c r="I114" t="s">
        <v>54</v>
      </c>
      <c r="J114" s="2">
        <v>0.14442353999999999</v>
      </c>
      <c r="K114" s="2">
        <v>0.25304818000000001</v>
      </c>
      <c r="L114" s="2">
        <v>0</v>
      </c>
      <c r="M114" s="2">
        <v>0</v>
      </c>
      <c r="N114" s="2">
        <v>1.0235715999999999</v>
      </c>
      <c r="O114" s="2">
        <v>0.70109606000000002</v>
      </c>
      <c r="P114" s="2">
        <v>0</v>
      </c>
      <c r="Q114" s="2">
        <v>0.132490573</v>
      </c>
      <c r="R114" s="2">
        <v>0.57488921999999998</v>
      </c>
      <c r="S114" s="2">
        <v>2.1221393800000001</v>
      </c>
      <c r="T114" s="2">
        <f t="shared" si="3"/>
        <v>0.32677390453092253</v>
      </c>
      <c r="U114">
        <v>3.4355873179080101</v>
      </c>
      <c r="V114">
        <v>9.9495389985653695</v>
      </c>
      <c r="W114" t="s">
        <v>511</v>
      </c>
      <c r="X114" t="s">
        <v>467</v>
      </c>
      <c r="AB114" s="6" t="b">
        <v>0</v>
      </c>
      <c r="AC114" t="s">
        <v>510</v>
      </c>
    </row>
    <row r="115" spans="1:29" x14ac:dyDescent="0.2">
      <c r="A115" t="s">
        <v>512</v>
      </c>
      <c r="B115" t="s">
        <v>267</v>
      </c>
      <c r="C115" t="s">
        <v>31</v>
      </c>
      <c r="D115" t="s">
        <v>111</v>
      </c>
      <c r="E115" t="s">
        <v>112</v>
      </c>
      <c r="F115" t="s">
        <v>113</v>
      </c>
      <c r="G115" t="s">
        <v>114</v>
      </c>
      <c r="H115" t="s">
        <v>268</v>
      </c>
      <c r="I115" t="s">
        <v>54</v>
      </c>
      <c r="J115" s="2">
        <v>0.54132223000000002</v>
      </c>
      <c r="K115" s="2">
        <v>0.5510003</v>
      </c>
      <c r="L115" s="2">
        <v>5.0852260000000003E-2</v>
      </c>
      <c r="M115" s="2">
        <v>7.8625619999999993E-2</v>
      </c>
      <c r="N115" s="2">
        <v>0.138598</v>
      </c>
      <c r="O115" s="2">
        <v>5.3535190000000003E-2</v>
      </c>
      <c r="P115" s="2">
        <v>0.23971279000000001</v>
      </c>
      <c r="Q115" s="2">
        <v>0.38105826300000001</v>
      </c>
      <c r="R115" s="2">
        <v>9.0252937000000005E-2</v>
      </c>
      <c r="S115" s="2">
        <v>1.65364639</v>
      </c>
      <c r="T115" s="2">
        <f t="shared" si="3"/>
        <v>0.2184426471209375</v>
      </c>
      <c r="U115">
        <v>1.4087526465047699</v>
      </c>
      <c r="V115">
        <v>0.51588060849695705</v>
      </c>
      <c r="W115" t="s">
        <v>269</v>
      </c>
      <c r="X115" t="s">
        <v>117</v>
      </c>
      <c r="AB115" s="6" t="b">
        <v>0</v>
      </c>
      <c r="AC115" t="s">
        <v>268</v>
      </c>
    </row>
    <row r="116" spans="1:29" x14ac:dyDescent="0.2">
      <c r="A116" t="s">
        <v>513</v>
      </c>
      <c r="B116" t="s">
        <v>314</v>
      </c>
      <c r="C116" t="s">
        <v>31</v>
      </c>
      <c r="D116" t="s">
        <v>193</v>
      </c>
      <c r="E116" t="s">
        <v>194</v>
      </c>
      <c r="F116" t="s">
        <v>315</v>
      </c>
      <c r="G116" t="s">
        <v>316</v>
      </c>
      <c r="H116" t="s">
        <v>317</v>
      </c>
      <c r="I116" t="s">
        <v>54</v>
      </c>
      <c r="J116" s="2">
        <v>0.6675411</v>
      </c>
      <c r="K116" s="2">
        <v>0.59252656000000004</v>
      </c>
      <c r="L116" s="2">
        <v>0.14853064999999999</v>
      </c>
      <c r="M116" s="2">
        <v>0.20278131999999999</v>
      </c>
      <c r="N116" s="2">
        <v>0.39688859999999998</v>
      </c>
      <c r="O116" s="2">
        <v>0.23727303999999999</v>
      </c>
      <c r="P116" s="2">
        <v>0.57874139999999996</v>
      </c>
      <c r="Q116" s="2">
        <v>0.46953276999999999</v>
      </c>
      <c r="R116" s="2">
        <v>0.27898098700000001</v>
      </c>
      <c r="S116" s="2">
        <v>2.8242826700000001</v>
      </c>
      <c r="T116" s="2">
        <f t="shared" si="3"/>
        <v>0.45090816117496446</v>
      </c>
      <c r="U116">
        <v>0.85772121172690896</v>
      </c>
      <c r="V116">
        <v>0.58304235372943702</v>
      </c>
      <c r="W116" t="s">
        <v>318</v>
      </c>
      <c r="X116" t="s">
        <v>197</v>
      </c>
      <c r="AB116" s="6" t="b">
        <v>0</v>
      </c>
      <c r="AC116" t="s">
        <v>317</v>
      </c>
    </row>
    <row r="117" spans="1:29" x14ac:dyDescent="0.2">
      <c r="A117" t="s">
        <v>514</v>
      </c>
      <c r="B117" t="s">
        <v>515</v>
      </c>
      <c r="C117" t="s">
        <v>31</v>
      </c>
      <c r="D117" t="s">
        <v>272</v>
      </c>
      <c r="E117" t="s">
        <v>273</v>
      </c>
      <c r="F117" t="s">
        <v>274</v>
      </c>
      <c r="G117" t="s">
        <v>275</v>
      </c>
      <c r="H117" t="s">
        <v>516</v>
      </c>
      <c r="I117" t="s">
        <v>54</v>
      </c>
      <c r="J117" s="2">
        <v>0.30725904999999998</v>
      </c>
      <c r="K117" s="2">
        <v>0.19892256999999999</v>
      </c>
      <c r="L117" s="2">
        <v>0.18862071999999999</v>
      </c>
      <c r="M117" s="2">
        <v>0.18079630999999999</v>
      </c>
      <c r="N117" s="2">
        <v>0.19775783999999999</v>
      </c>
      <c r="O117" s="2">
        <v>0.16003458000000001</v>
      </c>
      <c r="P117" s="2">
        <v>1.1173797000000001</v>
      </c>
      <c r="Q117" s="2">
        <v>0.23160078000000001</v>
      </c>
      <c r="R117" s="2">
        <v>0.179529577</v>
      </c>
      <c r="S117" s="2">
        <v>2.35077077</v>
      </c>
      <c r="T117" s="2">
        <f t="shared" si="3"/>
        <v>0.3712102819629719</v>
      </c>
      <c r="U117">
        <v>0.32075479665381101</v>
      </c>
      <c r="V117">
        <v>0.26713197499411401</v>
      </c>
      <c r="W117" t="s">
        <v>517</v>
      </c>
      <c r="X117" t="s">
        <v>278</v>
      </c>
      <c r="AA117" s="6">
        <f>207/11</f>
        <v>18.818181818181817</v>
      </c>
      <c r="AB117" s="6" t="b">
        <v>0</v>
      </c>
      <c r="AC117" t="s">
        <v>518</v>
      </c>
    </row>
    <row r="118" spans="1:29" x14ac:dyDescent="0.2">
      <c r="A118" t="s">
        <v>519</v>
      </c>
      <c r="B118" t="s">
        <v>520</v>
      </c>
      <c r="C118" t="s">
        <v>31</v>
      </c>
      <c r="D118" t="s">
        <v>272</v>
      </c>
      <c r="E118" t="s">
        <v>273</v>
      </c>
      <c r="F118" t="s">
        <v>274</v>
      </c>
      <c r="G118" t="s">
        <v>275</v>
      </c>
      <c r="H118" t="s">
        <v>521</v>
      </c>
      <c r="I118" t="s">
        <v>54</v>
      </c>
      <c r="J118" s="2">
        <v>6.5148890000000002</v>
      </c>
      <c r="K118" s="2">
        <v>3.8043977999999998</v>
      </c>
      <c r="L118" s="2">
        <v>2.4899537999999999</v>
      </c>
      <c r="M118" s="2">
        <v>2.2786881999999999</v>
      </c>
      <c r="N118" s="2">
        <v>2.3965885999999998</v>
      </c>
      <c r="O118" s="2">
        <v>1.8497950000000001</v>
      </c>
      <c r="P118" s="2">
        <v>11.217748</v>
      </c>
      <c r="Q118" s="2">
        <v>4.2697468670000003</v>
      </c>
      <c r="R118" s="2">
        <v>2.1750239329999999</v>
      </c>
      <c r="S118" s="2">
        <v>30.552060399999998</v>
      </c>
      <c r="T118" s="2">
        <f t="shared" si="3"/>
        <v>1.4850405039460672</v>
      </c>
      <c r="U118">
        <v>0.66671051141594595</v>
      </c>
      <c r="V118">
        <v>0.46707325611976502</v>
      </c>
      <c r="W118" t="s">
        <v>522</v>
      </c>
      <c r="X118" t="s">
        <v>278</v>
      </c>
      <c r="AA118" s="6">
        <f>207/11</f>
        <v>18.818181818181817</v>
      </c>
      <c r="AB118" s="6" t="b">
        <v>0</v>
      </c>
      <c r="AC118" t="s">
        <v>523</v>
      </c>
    </row>
    <row r="119" spans="1:29" x14ac:dyDescent="0.2">
      <c r="A119" t="s">
        <v>524</v>
      </c>
      <c r="B119" t="s">
        <v>525</v>
      </c>
      <c r="C119" t="s">
        <v>31</v>
      </c>
      <c r="D119" t="s">
        <v>464</v>
      </c>
      <c r="E119" t="s">
        <v>507</v>
      </c>
      <c r="F119" t="s">
        <v>526</v>
      </c>
      <c r="G119" t="s">
        <v>527</v>
      </c>
      <c r="H119" t="s">
        <v>54</v>
      </c>
      <c r="I119" t="s">
        <v>54</v>
      </c>
      <c r="J119" s="2">
        <v>0.38927323000000003</v>
      </c>
      <c r="K119" s="2">
        <v>3.3693583</v>
      </c>
      <c r="L119" s="2">
        <v>0.20082312999999999</v>
      </c>
      <c r="M119" s="2">
        <v>0</v>
      </c>
      <c r="N119" s="2">
        <v>6.5455199999999998</v>
      </c>
      <c r="O119" s="2">
        <v>0.62032925999999999</v>
      </c>
      <c r="P119" s="2">
        <v>0.44202580000000002</v>
      </c>
      <c r="Q119" s="2">
        <v>1.3198182199999999</v>
      </c>
      <c r="R119" s="2">
        <v>2.38861642</v>
      </c>
      <c r="S119" s="2">
        <v>11.56732972</v>
      </c>
      <c r="T119" s="2">
        <f t="shared" si="3"/>
        <v>1.063233115069822</v>
      </c>
      <c r="U119">
        <v>2.1563064872865301</v>
      </c>
      <c r="V119">
        <v>3.0866328196192798</v>
      </c>
      <c r="W119" t="s">
        <v>196</v>
      </c>
      <c r="X119" t="s">
        <v>467</v>
      </c>
      <c r="AB119" s="6" t="b">
        <v>0</v>
      </c>
      <c r="AC119" t="s">
        <v>54</v>
      </c>
    </row>
    <row r="120" spans="1:29" x14ac:dyDescent="0.2">
      <c r="A120" t="s">
        <v>528</v>
      </c>
      <c r="B120" t="s">
        <v>329</v>
      </c>
      <c r="C120" t="s">
        <v>31</v>
      </c>
      <c r="D120" t="s">
        <v>32</v>
      </c>
      <c r="E120" t="s">
        <v>33</v>
      </c>
      <c r="F120" t="s">
        <v>57</v>
      </c>
      <c r="G120" t="s">
        <v>287</v>
      </c>
      <c r="H120" t="s">
        <v>288</v>
      </c>
      <c r="I120" t="s">
        <v>54</v>
      </c>
      <c r="J120" s="2">
        <v>0.41525137000000001</v>
      </c>
      <c r="K120" s="2">
        <v>0.4169446</v>
      </c>
      <c r="L120" s="2">
        <v>0.26338630000000002</v>
      </c>
      <c r="M120" s="2">
        <v>0.18666667000000001</v>
      </c>
      <c r="N120" s="2">
        <v>0.85219029999999996</v>
      </c>
      <c r="O120" s="2">
        <v>0.24069180000000001</v>
      </c>
      <c r="P120" s="2">
        <v>7.8835059999999998E-2</v>
      </c>
      <c r="Q120" s="2">
        <v>0.36519409000000003</v>
      </c>
      <c r="R120" s="2">
        <v>0.42651625700000001</v>
      </c>
      <c r="S120" s="2">
        <v>2.4539661000000002</v>
      </c>
      <c r="T120" s="2">
        <f t="shared" si="3"/>
        <v>0.38986855892699701</v>
      </c>
      <c r="U120">
        <v>2.8655634332967899</v>
      </c>
      <c r="V120">
        <v>3.2155929883189902</v>
      </c>
      <c r="W120" t="s">
        <v>290</v>
      </c>
      <c r="X120" t="s">
        <v>39</v>
      </c>
      <c r="Y120">
        <v>22</v>
      </c>
      <c r="Z120">
        <v>34466</v>
      </c>
      <c r="AB120" s="6" t="b">
        <v>0</v>
      </c>
      <c r="AC120" t="s">
        <v>288</v>
      </c>
    </row>
    <row r="121" spans="1:29" x14ac:dyDescent="0.2">
      <c r="A121" t="s">
        <v>529</v>
      </c>
      <c r="B121" t="s">
        <v>530</v>
      </c>
      <c r="C121" t="s">
        <v>31</v>
      </c>
      <c r="D121" t="s">
        <v>111</v>
      </c>
      <c r="E121" t="s">
        <v>112</v>
      </c>
      <c r="F121" t="s">
        <v>113</v>
      </c>
      <c r="G121" t="s">
        <v>114</v>
      </c>
      <c r="H121" t="s">
        <v>531</v>
      </c>
      <c r="I121" t="s">
        <v>54</v>
      </c>
      <c r="J121" s="2">
        <v>0.26611188000000002</v>
      </c>
      <c r="K121" s="2">
        <v>0.23466142000000001</v>
      </c>
      <c r="L121" s="2">
        <v>9.8892640000000004E-2</v>
      </c>
      <c r="M121" s="2">
        <v>0.57448730000000003</v>
      </c>
      <c r="N121" s="2">
        <v>0.20700099999999999</v>
      </c>
      <c r="O121" s="2">
        <v>0.11073126</v>
      </c>
      <c r="P121" s="2">
        <v>0.33893173999999998</v>
      </c>
      <c r="Q121" s="2">
        <v>0.199888647</v>
      </c>
      <c r="R121" s="2">
        <v>0.29740652000000001</v>
      </c>
      <c r="S121" s="2">
        <v>1.83081724</v>
      </c>
      <c r="T121" s="2">
        <f t="shared" si="3"/>
        <v>0.26264499333447094</v>
      </c>
      <c r="U121">
        <v>0.67893685524826997</v>
      </c>
      <c r="V121">
        <v>0.90761021422219101</v>
      </c>
      <c r="W121" t="s">
        <v>532</v>
      </c>
      <c r="X121" t="s">
        <v>117</v>
      </c>
      <c r="Y121">
        <v>2</v>
      </c>
      <c r="Z121">
        <v>79</v>
      </c>
      <c r="AB121" s="6" t="b">
        <v>0</v>
      </c>
      <c r="AC121" t="s">
        <v>531</v>
      </c>
    </row>
    <row r="122" spans="1:29" x14ac:dyDescent="0.2">
      <c r="A122" t="s">
        <v>533</v>
      </c>
      <c r="B122" t="s">
        <v>217</v>
      </c>
      <c r="C122" t="s">
        <v>31</v>
      </c>
      <c r="D122" t="s">
        <v>111</v>
      </c>
      <c r="E122" t="s">
        <v>210</v>
      </c>
      <c r="F122" t="s">
        <v>211</v>
      </c>
      <c r="G122" t="s">
        <v>212</v>
      </c>
      <c r="H122" t="s">
        <v>218</v>
      </c>
      <c r="I122" t="s">
        <v>54</v>
      </c>
      <c r="J122" s="2">
        <v>0.78040825999999996</v>
      </c>
      <c r="K122" s="2">
        <v>0.77944820000000004</v>
      </c>
      <c r="L122" s="2">
        <v>0.26443477999999998</v>
      </c>
      <c r="M122" s="2">
        <v>0.20266877</v>
      </c>
      <c r="N122" s="2">
        <v>0.64346930000000002</v>
      </c>
      <c r="O122" s="2">
        <v>0.37942308000000002</v>
      </c>
      <c r="P122" s="2">
        <v>1.0325694999999999</v>
      </c>
      <c r="Q122" s="2">
        <v>0.60809707999999996</v>
      </c>
      <c r="R122" s="2">
        <v>0.40852038299999999</v>
      </c>
      <c r="S122" s="2">
        <v>4.08242189</v>
      </c>
      <c r="T122" s="2">
        <f t="shared" si="3"/>
        <v>0.61091788402315639</v>
      </c>
      <c r="U122">
        <v>0.68929785494439799</v>
      </c>
      <c r="V122">
        <v>0.51447821140861105</v>
      </c>
      <c r="W122" t="s">
        <v>219</v>
      </c>
      <c r="X122" t="s">
        <v>117</v>
      </c>
      <c r="AB122" s="6" t="b">
        <v>0</v>
      </c>
      <c r="AC122" t="s">
        <v>218</v>
      </c>
    </row>
    <row r="123" spans="1:29" x14ac:dyDescent="0.2">
      <c r="A123" t="s">
        <v>534</v>
      </c>
      <c r="B123" t="s">
        <v>380</v>
      </c>
      <c r="C123" t="s">
        <v>31</v>
      </c>
      <c r="D123" t="s">
        <v>381</v>
      </c>
      <c r="E123" t="s">
        <v>382</v>
      </c>
      <c r="F123" t="s">
        <v>383</v>
      </c>
      <c r="G123" t="s">
        <v>384</v>
      </c>
      <c r="H123" t="s">
        <v>385</v>
      </c>
      <c r="I123" t="s">
        <v>54</v>
      </c>
      <c r="J123" s="2">
        <v>0.5057159</v>
      </c>
      <c r="K123" s="2">
        <v>0.36034539999999998</v>
      </c>
      <c r="L123" s="2">
        <v>7.1102040000000005E-2</v>
      </c>
      <c r="M123" s="2">
        <v>6.1728496000000001E-2</v>
      </c>
      <c r="N123" s="2">
        <v>0.33604938000000001</v>
      </c>
      <c r="O123" s="2">
        <v>0.27701305999999998</v>
      </c>
      <c r="P123" s="2">
        <v>0.22059265</v>
      </c>
      <c r="Q123" s="2">
        <v>0.31238778</v>
      </c>
      <c r="R123" s="2">
        <v>0.22493031199999999</v>
      </c>
      <c r="S123" s="2">
        <v>1.832546926</v>
      </c>
      <c r="T123" s="2">
        <f t="shared" si="3"/>
        <v>0.26305510442744889</v>
      </c>
      <c r="U123">
        <v>1.29127456241299</v>
      </c>
      <c r="V123">
        <v>1.01423094065844</v>
      </c>
      <c r="W123" t="s">
        <v>386</v>
      </c>
      <c r="X123" t="s">
        <v>387</v>
      </c>
      <c r="AB123" s="6" t="b">
        <v>0</v>
      </c>
      <c r="AC123" t="s">
        <v>385</v>
      </c>
    </row>
    <row r="124" spans="1:29" x14ac:dyDescent="0.2">
      <c r="A124" t="s">
        <v>535</v>
      </c>
      <c r="B124" t="s">
        <v>536</v>
      </c>
      <c r="C124" t="s">
        <v>31</v>
      </c>
      <c r="D124" t="s">
        <v>222</v>
      </c>
      <c r="E124" t="s">
        <v>223</v>
      </c>
      <c r="F124" t="s">
        <v>224</v>
      </c>
      <c r="G124" t="s">
        <v>225</v>
      </c>
      <c r="H124" t="s">
        <v>537</v>
      </c>
      <c r="I124" t="s">
        <v>54</v>
      </c>
      <c r="J124" s="2">
        <v>1.0780217999999999</v>
      </c>
      <c r="K124" s="2">
        <v>0.77118439999999999</v>
      </c>
      <c r="L124" s="2">
        <v>0.31749602999999998</v>
      </c>
      <c r="M124" s="2">
        <v>0.19864334</v>
      </c>
      <c r="N124" s="2">
        <v>0.33212577999999998</v>
      </c>
      <c r="O124" s="2">
        <v>0.18960332999999999</v>
      </c>
      <c r="P124" s="2">
        <v>1.3391373</v>
      </c>
      <c r="Q124" s="2">
        <v>0.72223407699999997</v>
      </c>
      <c r="R124" s="2">
        <v>0.24012415000000001</v>
      </c>
      <c r="S124" s="2">
        <v>4.2262119800000004</v>
      </c>
      <c r="T124" s="2">
        <f t="shared" si="3"/>
        <v>0.62595127677578366</v>
      </c>
      <c r="U124">
        <v>0.65704408463582797</v>
      </c>
      <c r="V124">
        <v>0.29248937352561999</v>
      </c>
      <c r="W124" t="s">
        <v>538</v>
      </c>
      <c r="X124" t="s">
        <v>226</v>
      </c>
      <c r="AB124" s="6" t="b">
        <v>0</v>
      </c>
      <c r="AC124" t="s">
        <v>537</v>
      </c>
    </row>
    <row r="125" spans="1:29" x14ac:dyDescent="0.2">
      <c r="A125" t="s">
        <v>539</v>
      </c>
      <c r="B125" t="s">
        <v>300</v>
      </c>
      <c r="C125" t="s">
        <v>31</v>
      </c>
      <c r="D125" t="s">
        <v>111</v>
      </c>
      <c r="E125" t="s">
        <v>112</v>
      </c>
      <c r="F125" t="s">
        <v>301</v>
      </c>
      <c r="G125" t="s">
        <v>302</v>
      </c>
      <c r="H125" t="s">
        <v>303</v>
      </c>
      <c r="I125" t="s">
        <v>54</v>
      </c>
      <c r="J125" s="2">
        <v>0.5165265</v>
      </c>
      <c r="K125" s="2">
        <v>0.72211619999999999</v>
      </c>
      <c r="L125" s="2">
        <v>0.20476636000000001</v>
      </c>
      <c r="M125" s="2">
        <v>0.27320837999999997</v>
      </c>
      <c r="N125" s="2">
        <v>0.82339609999999996</v>
      </c>
      <c r="O125" s="2">
        <v>0.26287509999999997</v>
      </c>
      <c r="P125" s="2">
        <v>0.2285952</v>
      </c>
      <c r="Q125" s="2">
        <v>0.48113635300000002</v>
      </c>
      <c r="R125" s="2">
        <v>0.45315986000000003</v>
      </c>
      <c r="S125" s="2">
        <v>3.0314838399999999</v>
      </c>
      <c r="T125" s="2">
        <f t="shared" si="3"/>
        <v>0.48165525747366261</v>
      </c>
      <c r="U125">
        <v>1.73342590405248</v>
      </c>
      <c r="V125">
        <v>1.6583910726359301</v>
      </c>
      <c r="W125" t="s">
        <v>304</v>
      </c>
      <c r="X125" t="s">
        <v>117</v>
      </c>
      <c r="AB125" s="6" t="b">
        <v>0</v>
      </c>
      <c r="AC125" t="s">
        <v>303</v>
      </c>
    </row>
    <row r="126" spans="1:29" x14ac:dyDescent="0.2">
      <c r="A126" t="s">
        <v>540</v>
      </c>
      <c r="B126" t="s">
        <v>329</v>
      </c>
      <c r="C126" t="s">
        <v>31</v>
      </c>
      <c r="D126" t="s">
        <v>32</v>
      </c>
      <c r="E126" t="s">
        <v>33</v>
      </c>
      <c r="F126" t="s">
        <v>57</v>
      </c>
      <c r="G126" t="s">
        <v>287</v>
      </c>
      <c r="H126" t="s">
        <v>288</v>
      </c>
      <c r="I126" t="s">
        <v>54</v>
      </c>
      <c r="J126" s="2">
        <v>0.98635404999999998</v>
      </c>
      <c r="K126" s="2">
        <v>0.53967684999999999</v>
      </c>
      <c r="L126" s="2">
        <v>0.49459034000000002</v>
      </c>
      <c r="M126" s="2">
        <v>0.33342635999999998</v>
      </c>
      <c r="N126" s="2">
        <v>1.4233397000000001</v>
      </c>
      <c r="O126" s="2">
        <v>0.94316120000000003</v>
      </c>
      <c r="P126" s="2">
        <v>7.7518110000000001E-2</v>
      </c>
      <c r="Q126" s="2">
        <v>0.673540413</v>
      </c>
      <c r="R126" s="2">
        <v>0.89997575299999999</v>
      </c>
      <c r="S126" s="2">
        <v>4.7980666100000002</v>
      </c>
      <c r="T126" s="2">
        <f t="shared" si="3"/>
        <v>0.68106627284286581</v>
      </c>
      <c r="U126">
        <v>4.5357919625559298</v>
      </c>
      <c r="V126">
        <v>5.56426689586708</v>
      </c>
      <c r="W126" t="s">
        <v>290</v>
      </c>
      <c r="X126" t="s">
        <v>39</v>
      </c>
      <c r="Y126">
        <v>22</v>
      </c>
      <c r="Z126">
        <v>34466</v>
      </c>
      <c r="AB126" s="6" t="b">
        <v>0</v>
      </c>
      <c r="AC126" t="s">
        <v>288</v>
      </c>
    </row>
    <row r="127" spans="1:29" x14ac:dyDescent="0.2">
      <c r="A127" t="s">
        <v>541</v>
      </c>
      <c r="B127" t="s">
        <v>542</v>
      </c>
      <c r="C127" t="s">
        <v>31</v>
      </c>
      <c r="D127" t="s">
        <v>111</v>
      </c>
      <c r="E127" t="s">
        <v>210</v>
      </c>
      <c r="F127" t="s">
        <v>211</v>
      </c>
      <c r="G127" t="s">
        <v>212</v>
      </c>
      <c r="H127" t="s">
        <v>543</v>
      </c>
      <c r="I127" t="s">
        <v>54</v>
      </c>
      <c r="J127" s="2">
        <v>0.39518969999999998</v>
      </c>
      <c r="K127" s="2">
        <v>0.61915695999999998</v>
      </c>
      <c r="L127" s="2">
        <v>0.15811965</v>
      </c>
      <c r="M127" s="2">
        <v>0.16609537999999999</v>
      </c>
      <c r="N127" s="2">
        <v>0.32227117</v>
      </c>
      <c r="O127" s="2">
        <v>0.13998621999999999</v>
      </c>
      <c r="P127" s="2">
        <v>0.41319056999999998</v>
      </c>
      <c r="Q127" s="2">
        <v>0.39082210299999998</v>
      </c>
      <c r="R127" s="2">
        <v>0.20945092300000001</v>
      </c>
      <c r="S127" s="2">
        <v>2.2140096499999999</v>
      </c>
      <c r="T127" s="2">
        <f t="shared" si="3"/>
        <v>0.34517950946619858</v>
      </c>
      <c r="U127">
        <v>0.95952513500042702</v>
      </c>
      <c r="V127">
        <v>0.60605388683137895</v>
      </c>
      <c r="W127" t="s">
        <v>544</v>
      </c>
      <c r="X127" t="s">
        <v>117</v>
      </c>
      <c r="AB127" s="6" t="b">
        <v>0</v>
      </c>
      <c r="AC127" t="s">
        <v>543</v>
      </c>
    </row>
    <row r="128" spans="1:29" x14ac:dyDescent="0.2">
      <c r="A128" t="s">
        <v>545</v>
      </c>
      <c r="B128" t="s">
        <v>546</v>
      </c>
      <c r="C128" t="s">
        <v>31</v>
      </c>
      <c r="D128" t="s">
        <v>229</v>
      </c>
      <c r="E128" t="s">
        <v>230</v>
      </c>
      <c r="F128" t="s">
        <v>547</v>
      </c>
      <c r="G128" t="s">
        <v>548</v>
      </c>
      <c r="H128" t="s">
        <v>54</v>
      </c>
      <c r="I128" t="s">
        <v>54</v>
      </c>
      <c r="J128" s="2">
        <v>0.51775070000000001</v>
      </c>
      <c r="K128" s="2">
        <v>0.45537244999999998</v>
      </c>
      <c r="L128" s="2">
        <v>0.12703596</v>
      </c>
      <c r="M128" s="2">
        <v>0.14190952000000001</v>
      </c>
      <c r="N128" s="2">
        <v>0.53990309999999997</v>
      </c>
      <c r="O128" s="2">
        <v>0.31950083000000001</v>
      </c>
      <c r="P128" s="2">
        <v>0.32505002999999999</v>
      </c>
      <c r="Q128" s="2">
        <v>0.36671970300000001</v>
      </c>
      <c r="R128" s="2">
        <v>0.33377115000000002</v>
      </c>
      <c r="S128" s="2">
        <v>2.4265225899999998</v>
      </c>
      <c r="T128" s="2">
        <f t="shared" si="3"/>
        <v>0.38498433878614013</v>
      </c>
      <c r="U128">
        <v>1.0937360802631699</v>
      </c>
      <c r="V128">
        <v>1.01985108249754</v>
      </c>
      <c r="W128" t="s">
        <v>196</v>
      </c>
      <c r="X128" t="s">
        <v>232</v>
      </c>
      <c r="AB128" s="6" t="b">
        <v>0</v>
      </c>
      <c r="AC128" t="s">
        <v>54</v>
      </c>
    </row>
    <row r="129" spans="1:29" x14ac:dyDescent="0.2">
      <c r="A129" t="s">
        <v>549</v>
      </c>
      <c r="B129" t="s">
        <v>550</v>
      </c>
      <c r="C129" t="s">
        <v>31</v>
      </c>
      <c r="D129" t="s">
        <v>222</v>
      </c>
      <c r="E129" t="s">
        <v>551</v>
      </c>
      <c r="F129" t="s">
        <v>552</v>
      </c>
      <c r="G129" t="s">
        <v>553</v>
      </c>
      <c r="H129" t="s">
        <v>554</v>
      </c>
      <c r="I129" t="s">
        <v>54</v>
      </c>
      <c r="J129" s="2">
        <v>0.40989882</v>
      </c>
      <c r="K129" s="2">
        <v>0.30408605999999999</v>
      </c>
      <c r="L129" s="2">
        <v>0.16558278000000001</v>
      </c>
      <c r="M129" s="2">
        <v>0.16819418999999999</v>
      </c>
      <c r="N129" s="2">
        <v>0.1666069</v>
      </c>
      <c r="O129" s="2">
        <v>0.1225257</v>
      </c>
      <c r="P129" s="2">
        <v>0.78698959999999996</v>
      </c>
      <c r="Q129" s="2">
        <v>0.29318921999999997</v>
      </c>
      <c r="R129" s="2">
        <v>0.15244226299999999</v>
      </c>
      <c r="S129" s="2">
        <v>2.12388405</v>
      </c>
      <c r="T129" s="2">
        <f t="shared" si="3"/>
        <v>0.32713080345476298</v>
      </c>
      <c r="U129">
        <v>0.48517208692828501</v>
      </c>
      <c r="V129">
        <v>0.303151086297265</v>
      </c>
      <c r="W129" t="s">
        <v>555</v>
      </c>
      <c r="X129" t="s">
        <v>226</v>
      </c>
      <c r="AB129" s="6" t="b">
        <v>0</v>
      </c>
      <c r="AC129" t="s">
        <v>554</v>
      </c>
    </row>
    <row r="130" spans="1:29" x14ac:dyDescent="0.2">
      <c r="A130" t="s">
        <v>556</v>
      </c>
      <c r="B130" t="s">
        <v>271</v>
      </c>
      <c r="C130" t="s">
        <v>31</v>
      </c>
      <c r="D130" t="s">
        <v>272</v>
      </c>
      <c r="E130" t="s">
        <v>273</v>
      </c>
      <c r="F130" t="s">
        <v>274</v>
      </c>
      <c r="G130" t="s">
        <v>275</v>
      </c>
      <c r="H130" t="s">
        <v>276</v>
      </c>
      <c r="I130" t="s">
        <v>54</v>
      </c>
      <c r="J130" s="2">
        <v>1.1406616000000001</v>
      </c>
      <c r="K130" s="2">
        <v>0.67144919999999997</v>
      </c>
      <c r="L130" s="2">
        <v>0.38828298</v>
      </c>
      <c r="M130" s="2">
        <v>0.37020454000000003</v>
      </c>
      <c r="N130" s="2">
        <v>0.49404997</v>
      </c>
      <c r="O130" s="2">
        <v>0.44040963</v>
      </c>
      <c r="P130" s="2">
        <v>3.8714776</v>
      </c>
      <c r="Q130" s="2">
        <v>0.733464593</v>
      </c>
      <c r="R130" s="2">
        <v>0.434888047</v>
      </c>
      <c r="S130" s="2">
        <v>7.37653552</v>
      </c>
      <c r="T130" s="2">
        <f t="shared" si="3"/>
        <v>0.86785243799928635</v>
      </c>
      <c r="U130">
        <v>0.363048866966238</v>
      </c>
      <c r="V130">
        <v>0.248078058776314</v>
      </c>
      <c r="W130" t="s">
        <v>277</v>
      </c>
      <c r="X130" t="s">
        <v>278</v>
      </c>
      <c r="AA130" s="6">
        <f>207/11</f>
        <v>18.818181818181817</v>
      </c>
      <c r="AB130" s="6" t="b">
        <v>0</v>
      </c>
      <c r="AC130" t="s">
        <v>279</v>
      </c>
    </row>
  </sheetData>
  <autoFilter ref="A1:AC130" xr:uid="{00000000-0009-0000-0000-000000000000}"/>
  <sortState xmlns:xlrd2="http://schemas.microsoft.com/office/spreadsheetml/2017/richdata2" ref="A2:AC130">
    <sortCondition descending="1" ref="A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created xsi:type="dcterms:W3CDTF">2025-07-16T18:20:00Z</dcterms:created>
  <dcterms:modified xsi:type="dcterms:W3CDTF">2025-12-03T06:23:01Z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1033-6.5.2.8766</vt:lpwstr>
  </property>
  <property fmtid="{D5CDD505-2E9C-101B-9397-08002B2CF9AE}" pid="3" name="ICV">
    <vt:lpwstr>C29C4710B458B3C5E826776845DDF51F_42</vt:lpwstr>
  </property>
</Properties>
</file>