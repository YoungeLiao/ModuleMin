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ModuleMin/data/Fig4/"/>
    </mc:Choice>
  </mc:AlternateContent>
  <xr:revisionPtr revIDLastSave="0" documentId="13_ncr:1_{4FBA8E1C-B16F-A64C-8568-D5FFCC0E0A15}" xr6:coauthVersionLast="47" xr6:coauthVersionMax="47" xr10:uidLastSave="{00000000-0000-0000-0000-000000000000}"/>
  <bookViews>
    <workbookView xWindow="520" yWindow="620" windowWidth="19140" windowHeight="14100" xr2:uid="{C803D422-8317-CE4F-BB39-64AB537819AB}"/>
  </bookViews>
  <sheets>
    <sheet name="SBR" sheetId="3" r:id="rId1"/>
    <sheet name="Efficiency.raw" sheetId="5" r:id="rId2"/>
    <sheet name="Efficiency" sheetId="6" r:id="rId3"/>
    <sheet name="SBR.raw" sheetId="1" r:id="rId4"/>
    <sheet name="Continuous.raw" sheetId="4" r:id="rId5"/>
    <sheet name="DI_Perf." sheetId="2" r:id="rId6"/>
  </sheets>
  <definedNames>
    <definedName name="_xlnm._FilterDatabase" localSheetId="1" hidden="1">Efficiency.raw!$A$1:$S$19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3" l="1"/>
  <c r="I10" i="3"/>
  <c r="I7" i="3"/>
  <c r="T19" i="5"/>
  <c r="T4" i="5"/>
  <c r="T18" i="5"/>
  <c r="T17" i="5"/>
  <c r="T16" i="5"/>
  <c r="T13" i="5"/>
  <c r="T12" i="5"/>
  <c r="T11" i="5"/>
  <c r="T10" i="5"/>
  <c r="T7" i="5"/>
  <c r="T6" i="5"/>
  <c r="T5" i="5"/>
  <c r="F15" i="5"/>
  <c r="U6" i="5"/>
  <c r="G8" i="5"/>
  <c r="E39" i="6"/>
  <c r="F39" i="6" s="1"/>
  <c r="E38" i="6"/>
  <c r="E27" i="6"/>
  <c r="F27" i="6" s="1"/>
  <c r="E26" i="6"/>
  <c r="E3" i="6"/>
  <c r="F3" i="6" s="1"/>
  <c r="E2" i="6"/>
  <c r="F15" i="6"/>
  <c r="E15" i="6"/>
  <c r="E14" i="6"/>
  <c r="D3" i="5"/>
  <c r="E3" i="5"/>
  <c r="D4" i="5"/>
  <c r="E4" i="5"/>
  <c r="P4" i="5" s="1"/>
  <c r="D5" i="5"/>
  <c r="E5" i="5"/>
  <c r="D6" i="5"/>
  <c r="E6" i="5"/>
  <c r="D7" i="5"/>
  <c r="E7" i="5"/>
  <c r="D8" i="5"/>
  <c r="E8" i="5"/>
  <c r="D9" i="5"/>
  <c r="E9" i="5"/>
  <c r="D10" i="5"/>
  <c r="E10" i="5"/>
  <c r="D11" i="5"/>
  <c r="E11" i="5"/>
  <c r="D12" i="5"/>
  <c r="E12" i="5"/>
  <c r="P12" i="5" s="1"/>
  <c r="D13" i="5"/>
  <c r="E13" i="5"/>
  <c r="P13" i="5" s="1"/>
  <c r="D14" i="5"/>
  <c r="E14" i="5"/>
  <c r="D15" i="5"/>
  <c r="E15" i="5"/>
  <c r="D16" i="5"/>
  <c r="E16" i="5"/>
  <c r="D17" i="5"/>
  <c r="E17" i="5"/>
  <c r="D18" i="5"/>
  <c r="E18" i="5"/>
  <c r="P18" i="5" s="1"/>
  <c r="D19" i="5"/>
  <c r="E19" i="5"/>
  <c r="P19" i="5" s="1"/>
  <c r="E2" i="5"/>
  <c r="D2" i="5"/>
  <c r="L3" i="5"/>
  <c r="F3" i="5" s="1"/>
  <c r="U5" i="5" s="1"/>
  <c r="L4" i="5"/>
  <c r="F4" i="5" s="1"/>
  <c r="L5" i="5"/>
  <c r="F5" i="5" s="1"/>
  <c r="L6" i="5"/>
  <c r="F6" i="5" s="1"/>
  <c r="L7" i="5"/>
  <c r="F7" i="5" s="1"/>
  <c r="L8" i="5"/>
  <c r="F8" i="5" s="1"/>
  <c r="U10" i="5" s="1"/>
  <c r="L9" i="5"/>
  <c r="F9" i="5" s="1"/>
  <c r="U11" i="5" s="1"/>
  <c r="L10" i="5"/>
  <c r="F10" i="5" s="1"/>
  <c r="Q10" i="5" s="1"/>
  <c r="L11" i="5"/>
  <c r="F11" i="5" s="1"/>
  <c r="L12" i="5"/>
  <c r="F12" i="5" s="1"/>
  <c r="L13" i="5"/>
  <c r="F13" i="5" s="1"/>
  <c r="L14" i="5"/>
  <c r="F14" i="5" s="1"/>
  <c r="U16" i="5" s="1"/>
  <c r="L15" i="5"/>
  <c r="L16" i="5"/>
  <c r="F16" i="5" s="1"/>
  <c r="L17" i="5"/>
  <c r="F17" i="5" s="1"/>
  <c r="L18" i="5"/>
  <c r="F18" i="5" s="1"/>
  <c r="L19" i="5"/>
  <c r="F19" i="5" s="1"/>
  <c r="L2" i="5"/>
  <c r="F2" i="5" s="1"/>
  <c r="U4" i="5" s="1"/>
  <c r="H3" i="5"/>
  <c r="W7" i="5" s="1"/>
  <c r="H4" i="5"/>
  <c r="H5" i="5"/>
  <c r="S5" i="5" s="1"/>
  <c r="H6" i="5"/>
  <c r="H7" i="5"/>
  <c r="H8" i="5"/>
  <c r="W10" i="5" s="1"/>
  <c r="H9" i="5"/>
  <c r="W11" i="5" s="1"/>
  <c r="H10" i="5"/>
  <c r="H11" i="5"/>
  <c r="H12" i="5"/>
  <c r="H13" i="5"/>
  <c r="H14" i="5"/>
  <c r="W18" i="5" s="1"/>
  <c r="H15" i="5"/>
  <c r="W17" i="5" s="1"/>
  <c r="H16" i="5"/>
  <c r="S16" i="5" s="1"/>
  <c r="H17" i="5"/>
  <c r="H18" i="5"/>
  <c r="H19" i="5"/>
  <c r="H2" i="5"/>
  <c r="W6" i="5" s="1"/>
  <c r="H3" i="3"/>
  <c r="H10" i="3"/>
  <c r="H4" i="3"/>
  <c r="H5" i="3"/>
  <c r="H6" i="3"/>
  <c r="H7" i="3"/>
  <c r="H8" i="3"/>
  <c r="H9" i="3"/>
  <c r="H2" i="3"/>
  <c r="I3" i="3" s="1"/>
  <c r="U17" i="5" l="1"/>
  <c r="W12" i="5"/>
  <c r="U7" i="5"/>
  <c r="W13" i="5"/>
  <c r="V12" i="5"/>
  <c r="W5" i="5"/>
  <c r="U12" i="5"/>
  <c r="U18" i="5"/>
  <c r="W16" i="5"/>
  <c r="W4" i="5"/>
  <c r="U13" i="5"/>
  <c r="U19" i="5"/>
  <c r="W19" i="5"/>
  <c r="Q12" i="5"/>
  <c r="P17" i="5"/>
  <c r="P11" i="5"/>
  <c r="Q11" i="5"/>
  <c r="Q7" i="5"/>
  <c r="Q19" i="5"/>
  <c r="P16" i="5"/>
  <c r="Q17" i="5"/>
  <c r="S6" i="5"/>
  <c r="Q16" i="5"/>
  <c r="P6" i="5"/>
  <c r="Q4" i="5"/>
  <c r="P5" i="5"/>
  <c r="Q18" i="5"/>
  <c r="P7" i="5"/>
  <c r="Q6" i="5"/>
  <c r="Q13" i="5"/>
  <c r="Q5" i="5"/>
  <c r="P10" i="5"/>
  <c r="S4" i="5"/>
  <c r="S17" i="5"/>
  <c r="S13" i="5"/>
  <c r="S19" i="5"/>
  <c r="S11" i="5"/>
  <c r="S12" i="5"/>
  <c r="S18" i="5"/>
  <c r="S10" i="5"/>
  <c r="S7" i="5"/>
  <c r="G13" i="5"/>
  <c r="G5" i="5"/>
  <c r="G10" i="5"/>
  <c r="V10" i="5" s="1"/>
  <c r="G4" i="5"/>
  <c r="G18" i="5"/>
  <c r="G9" i="5"/>
  <c r="G2" i="5"/>
  <c r="G16" i="5"/>
  <c r="G6" i="5"/>
  <c r="G14" i="5"/>
  <c r="G17" i="5"/>
  <c r="G19" i="5"/>
  <c r="G15" i="5"/>
  <c r="G11" i="5"/>
  <c r="G7" i="5"/>
  <c r="G12" i="5"/>
  <c r="G3" i="5"/>
  <c r="V19" i="5" l="1"/>
  <c r="V17" i="5"/>
  <c r="V18" i="5"/>
  <c r="V16" i="5"/>
  <c r="V13" i="5"/>
  <c r="V11" i="5"/>
  <c r="V7" i="5"/>
  <c r="V5" i="5"/>
  <c r="V4" i="5"/>
  <c r="V6" i="5"/>
  <c r="R18" i="5"/>
  <c r="R11" i="5"/>
  <c r="R13" i="5"/>
  <c r="R16" i="5"/>
  <c r="R7" i="5"/>
  <c r="R12" i="5"/>
  <c r="R4" i="5"/>
  <c r="R10" i="5"/>
  <c r="R19" i="5"/>
  <c r="R17" i="5"/>
  <c r="R6" i="5"/>
  <c r="R5" i="5"/>
  <c r="R10" i="3" l="1"/>
  <c r="Q10" i="3"/>
  <c r="E10" i="3"/>
  <c r="F10" i="3" s="1"/>
  <c r="R9" i="3"/>
  <c r="Q9" i="3"/>
  <c r="P9" i="3"/>
  <c r="E9" i="3"/>
  <c r="D9" i="3"/>
  <c r="C9" i="3"/>
  <c r="R8" i="3"/>
  <c r="Q8" i="3"/>
  <c r="P8" i="3"/>
  <c r="E8" i="3"/>
  <c r="D8" i="3"/>
  <c r="C8" i="3"/>
  <c r="F8" i="3" s="1"/>
  <c r="R7" i="3"/>
  <c r="Q7" i="3"/>
  <c r="P7" i="3"/>
  <c r="E7" i="3"/>
  <c r="D7" i="3"/>
  <c r="C7" i="3"/>
  <c r="R6" i="3"/>
  <c r="Q6" i="3"/>
  <c r="P6" i="3"/>
  <c r="E6" i="3"/>
  <c r="D6" i="3"/>
  <c r="C6" i="3"/>
  <c r="R5" i="3"/>
  <c r="Q5" i="3"/>
  <c r="P5" i="3"/>
  <c r="E5" i="3"/>
  <c r="D5" i="3"/>
  <c r="C5" i="3"/>
  <c r="R4" i="3"/>
  <c r="Q4" i="3"/>
  <c r="P4" i="3"/>
  <c r="E4" i="3"/>
  <c r="D4" i="3"/>
  <c r="C4" i="3"/>
  <c r="R3" i="3"/>
  <c r="Q3" i="3"/>
  <c r="P3" i="3"/>
  <c r="E3" i="3"/>
  <c r="D3" i="3"/>
  <c r="C3" i="3"/>
  <c r="P2" i="3"/>
  <c r="D2" i="3"/>
  <c r="C2" i="3"/>
  <c r="H35" i="4"/>
  <c r="H34" i="4"/>
  <c r="H21" i="4"/>
  <c r="H22" i="4"/>
  <c r="H23" i="4"/>
  <c r="H20" i="4"/>
  <c r="P4" i="1"/>
  <c r="P5" i="1"/>
  <c r="P6" i="1"/>
  <c r="P7" i="1"/>
  <c r="P8" i="1"/>
  <c r="P9" i="1"/>
  <c r="P10" i="1"/>
  <c r="P11" i="1"/>
  <c r="P12" i="1"/>
  <c r="P13" i="1"/>
  <c r="P14" i="1"/>
  <c r="P3" i="1"/>
  <c r="Q13" i="1"/>
  <c r="Q14" i="1"/>
  <c r="Q3" i="1"/>
  <c r="Q4" i="1"/>
  <c r="Q5" i="1"/>
  <c r="Q6" i="1"/>
  <c r="Q7" i="1"/>
  <c r="Q8" i="1"/>
  <c r="Q9" i="1"/>
  <c r="Q10" i="1"/>
  <c r="Q11" i="1"/>
  <c r="Q12" i="1"/>
  <c r="E4" i="1"/>
  <c r="E5" i="1"/>
  <c r="E6" i="1"/>
  <c r="E7" i="1"/>
  <c r="E8" i="1"/>
  <c r="E9" i="1"/>
  <c r="E11" i="1"/>
  <c r="F11" i="1" s="1"/>
  <c r="E3" i="1"/>
  <c r="H2" i="1"/>
  <c r="O3" i="1"/>
  <c r="O4" i="1"/>
  <c r="O5" i="1"/>
  <c r="O6" i="1"/>
  <c r="O7" i="1"/>
  <c r="O8" i="1"/>
  <c r="O9" i="1"/>
  <c r="O2" i="1"/>
  <c r="H3" i="1"/>
  <c r="H4" i="1"/>
  <c r="H5" i="1"/>
  <c r="H6" i="1"/>
  <c r="H7" i="1"/>
  <c r="H8" i="1"/>
  <c r="H9" i="1"/>
  <c r="C3" i="1"/>
  <c r="C4" i="1"/>
  <c r="C5" i="1"/>
  <c r="C6" i="1"/>
  <c r="F6" i="1" s="1"/>
  <c r="C7" i="1"/>
  <c r="C8" i="1"/>
  <c r="C9" i="1"/>
  <c r="C2" i="1"/>
  <c r="D2" i="1"/>
  <c r="E2" i="1" s="1"/>
  <c r="D3" i="1"/>
  <c r="D4" i="1"/>
  <c r="D5" i="1"/>
  <c r="D6" i="1"/>
  <c r="D7" i="1"/>
  <c r="D8" i="1"/>
  <c r="D9" i="1"/>
  <c r="F6" i="3" l="1"/>
  <c r="F4" i="3"/>
  <c r="F5" i="3"/>
  <c r="G6" i="3" s="1"/>
  <c r="F7" i="3"/>
  <c r="G7" i="3" s="1"/>
  <c r="F9" i="3"/>
  <c r="G9" i="3" s="1"/>
  <c r="F3" i="3"/>
  <c r="E2" i="3"/>
  <c r="F2" i="3" s="1"/>
  <c r="F5" i="1"/>
  <c r="G6" i="1" s="1"/>
  <c r="F9" i="1"/>
  <c r="F3" i="1"/>
  <c r="F8" i="1"/>
  <c r="G9" i="1" s="1"/>
  <c r="F7" i="1"/>
  <c r="G7" i="1" s="1"/>
  <c r="G11" i="1"/>
  <c r="F4" i="1"/>
  <c r="G5" i="1" s="1"/>
  <c r="F2" i="1"/>
  <c r="G3" i="1" s="1"/>
  <c r="G5" i="3" l="1"/>
  <c r="G10" i="3"/>
  <c r="G3" i="3"/>
</calcChain>
</file>

<file path=xl/sharedStrings.xml><?xml version="1.0" encoding="utf-8"?>
<sst xmlns="http://schemas.openxmlformats.org/spreadsheetml/2006/main" count="341" uniqueCount="93">
  <si>
    <t>Samples</t>
  </si>
  <si>
    <t>Time</t>
  </si>
  <si>
    <t>NO3</t>
  </si>
  <si>
    <t>NO2</t>
  </si>
  <si>
    <t>NH4</t>
  </si>
  <si>
    <t>HCO3</t>
  </si>
  <si>
    <t>NO3_Raw</t>
  </si>
  <si>
    <t>Ofar-5.16</t>
  </si>
  <si>
    <t>Ofar-5.21</t>
  </si>
  <si>
    <t>Ofar-5.22</t>
  </si>
  <si>
    <t>Ofar-5.24</t>
  </si>
  <si>
    <t>Ofar-5.25</t>
  </si>
  <si>
    <t>Ofar-5.26</t>
  </si>
  <si>
    <t>Ofar-5.27</t>
  </si>
  <si>
    <t>Ofar-5.30</t>
  </si>
  <si>
    <t>NO2_Raw</t>
  </si>
  <si>
    <t>NH4_Raw</t>
  </si>
  <si>
    <t>HCO3_Raw</t>
  </si>
  <si>
    <t>TIN</t>
  </si>
  <si>
    <t>Ofar-6.3</t>
  </si>
  <si>
    <t>NLR mg N L-1 day-1</t>
  </si>
  <si>
    <t>ADD</t>
  </si>
  <si>
    <t>HCO3_2</t>
  </si>
  <si>
    <t>Group</t>
  </si>
  <si>
    <t>Dark</t>
  </si>
  <si>
    <t>IR</t>
  </si>
  <si>
    <t>Ofar-6.4</t>
  </si>
  <si>
    <t>Ofar-6.5</t>
  </si>
  <si>
    <t>Ofar-6.6</t>
  </si>
  <si>
    <t>Ofar-D-6.6</t>
  </si>
  <si>
    <t>Ofar-I-6.6</t>
  </si>
  <si>
    <t>Ofar-D-6.7</t>
  </si>
  <si>
    <t>Ofar-I-6.7</t>
  </si>
  <si>
    <t>TOC_IC_Raw2-0528</t>
  </si>
  <si>
    <t>TOC_IC_Raw1-0608</t>
  </si>
  <si>
    <t>TOC-IC-0528</t>
  </si>
  <si>
    <t>TOC-IC-0608</t>
  </si>
  <si>
    <t>Ofar-D-6.10</t>
  </si>
  <si>
    <t>Ofar-I-6.10</t>
  </si>
  <si>
    <t>Ofar-D-6.11</t>
  </si>
  <si>
    <t>Ofar-I-6.11</t>
  </si>
  <si>
    <t>Ofar-D-6.12</t>
  </si>
  <si>
    <t>Ofar-I-6.12</t>
  </si>
  <si>
    <t>Ofar-D-6.13</t>
  </si>
  <si>
    <t>Ofar-I</t>
  </si>
  <si>
    <t>Ofar-D-6.16</t>
  </si>
  <si>
    <t>Ofar-D-6.17</t>
  </si>
  <si>
    <t>Ofar-D-6.19</t>
  </si>
  <si>
    <t>Ofar-D-6.23</t>
  </si>
  <si>
    <t>Ofar-D-6.27-1</t>
  </si>
  <si>
    <t>Ofar-D-6.27-2</t>
  </si>
  <si>
    <t>Ofar-No.1-7.1</t>
  </si>
  <si>
    <t>Ofar-No.2</t>
  </si>
  <si>
    <t>Ofar-No.1-7.2</t>
  </si>
  <si>
    <t>Ofar-No.1-7.3</t>
  </si>
  <si>
    <t>Ofar-No.1-7.8</t>
  </si>
  <si>
    <t>Ofar-No.1-7.17</t>
  </si>
  <si>
    <t>Ofar-No.1-7.21</t>
  </si>
  <si>
    <t>Ofar-Inf1-8.14</t>
  </si>
  <si>
    <t>Ofar-Inf2</t>
  </si>
  <si>
    <t>Ofar-No.1-Eff.1</t>
  </si>
  <si>
    <t>Ofar-No.2-Eff.2</t>
  </si>
  <si>
    <t>Ofar-No.1</t>
  </si>
  <si>
    <t>Ofar-Inf1-8.16</t>
  </si>
  <si>
    <t>Ofar-Inf1-8.23</t>
  </si>
  <si>
    <t>NH4_Raw.1</t>
  </si>
  <si>
    <t>NH4_Raw.2</t>
  </si>
  <si>
    <t>NH4_Raw.3</t>
  </si>
  <si>
    <t>TIN_Removal</t>
  </si>
  <si>
    <t>NH4_Removal</t>
  </si>
  <si>
    <t>NO2_Removal</t>
  </si>
  <si>
    <t>HCO3_Removal</t>
  </si>
  <si>
    <t>Indicator</t>
  </si>
  <si>
    <t>Efficiency</t>
  </si>
  <si>
    <t>Ofar-No.1-Eff.2</t>
  </si>
  <si>
    <t>Ofar-No.2-Eff.3</t>
  </si>
  <si>
    <t>Ofar-No.3</t>
  </si>
  <si>
    <t>Ofar-No.4</t>
  </si>
  <si>
    <t>Ofar-No.1-Eff.3</t>
  </si>
  <si>
    <t>Ofar-No.2-Eff.4</t>
  </si>
  <si>
    <t>Ofar-No.5</t>
  </si>
  <si>
    <t>Ofar-No.6</t>
  </si>
  <si>
    <t>Ofar-No.1-Eff.4</t>
  </si>
  <si>
    <t>Ofar-No.2-Eff.5</t>
  </si>
  <si>
    <t>Ofar-No.7</t>
  </si>
  <si>
    <t>Ofar-No.8</t>
  </si>
  <si>
    <t>Average</t>
  </si>
  <si>
    <t>Enhancement</t>
  </si>
  <si>
    <t>TINLR</t>
  </si>
  <si>
    <t>NH4LR</t>
  </si>
  <si>
    <t>CLR</t>
  </si>
  <si>
    <t>NO2LR</t>
  </si>
  <si>
    <t>CCUS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</si>
</sst>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&quot;  &quot;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2" fillId="0" borderId="1" xfId="0" applyNumberFormat="1" applyFont="1" applyBorder="1" applyAlignment="1">
      <alignment horizontal="center" vertical="center"/>
    </xf>
    <xf numFmtId="0" fontId="0" fillId="2" borderId="0" xfId="0" applyFill="1"/>
    <xf numFmtId="0" fontId="1" fillId="0" borderId="0" xfId="0" applyFont="1" applyAlignment="1">
      <alignment horizontal="right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3" borderId="0" xfId="0" applyFill="1"/>
    <xf numFmtId="16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/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1" fillId="5" borderId="0" xfId="0" applyFont="1" applyFill="1"/>
    <xf numFmtId="164" fontId="2" fillId="5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2" fillId="5" borderId="3" xfId="0" applyNumberFormat="1" applyFont="1" applyFill="1" applyBorder="1" applyAlignment="1">
      <alignment horizontal="center" vertical="center"/>
    </xf>
    <xf numFmtId="164" fontId="2" fillId="5" borderId="0" xfId="0" applyNumberFormat="1" applyFont="1" applyFill="1" applyAlignment="1">
      <alignment horizontal="center" vertical="center"/>
    </xf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8BCCC-2194-2E4E-8DC6-9B5CEB53C084}">
  <dimension ref="A1:R10"/>
  <sheetViews>
    <sheetView tabSelected="1" zoomScale="111" workbookViewId="0">
      <selection activeCell="D8" sqref="D8"/>
    </sheetView>
  </sheetViews>
  <sheetFormatPr baseColWidth="10" defaultRowHeight="16" x14ac:dyDescent="0.2"/>
  <cols>
    <col min="3" max="5" width="10.83203125" style="20"/>
    <col min="7" max="7" width="18" customWidth="1"/>
    <col min="14" max="14" width="18.5" customWidth="1"/>
    <col min="15" max="15" width="19.83203125" customWidth="1"/>
  </cols>
  <sheetData>
    <row r="1" spans="1:18" s="9" customFormat="1" x14ac:dyDescent="0.2">
      <c r="A1" s="9" t="s">
        <v>0</v>
      </c>
      <c r="B1" s="9" t="s">
        <v>1</v>
      </c>
      <c r="C1" s="19" t="s">
        <v>2</v>
      </c>
      <c r="D1" s="19" t="s">
        <v>3</v>
      </c>
      <c r="E1" s="19" t="s">
        <v>4</v>
      </c>
      <c r="F1" s="9" t="s">
        <v>18</v>
      </c>
      <c r="G1" s="9" t="s">
        <v>20</v>
      </c>
      <c r="H1" s="9" t="s">
        <v>5</v>
      </c>
      <c r="I1" s="9" t="s">
        <v>92</v>
      </c>
      <c r="J1" s="9" t="s">
        <v>17</v>
      </c>
      <c r="K1" s="9" t="s">
        <v>6</v>
      </c>
      <c r="L1" s="9" t="s">
        <v>15</v>
      </c>
      <c r="M1" s="9" t="s">
        <v>16</v>
      </c>
      <c r="N1" s="9" t="s">
        <v>34</v>
      </c>
      <c r="O1" s="9" t="s">
        <v>33</v>
      </c>
      <c r="P1" s="9" t="s">
        <v>22</v>
      </c>
      <c r="Q1" s="9" t="s">
        <v>36</v>
      </c>
      <c r="R1" s="9" t="s">
        <v>35</v>
      </c>
    </row>
    <row r="2" spans="1:18" x14ac:dyDescent="0.2">
      <c r="A2" s="4" t="s">
        <v>7</v>
      </c>
      <c r="B2">
        <v>0</v>
      </c>
      <c r="C2" s="20">
        <f>80*(4.1224*K2-0.0766)</f>
        <v>35.518205159968055</v>
      </c>
      <c r="D2" s="20">
        <f>(1.4692*L2-0.07238)*80</f>
        <v>97.381023169493346</v>
      </c>
      <c r="E2" s="20">
        <f>D2/1.32</f>
        <v>73.773502401131324</v>
      </c>
      <c r="F2">
        <f>SUM(C2:E2)</f>
        <v>206.67273073059272</v>
      </c>
      <c r="H2">
        <f t="shared" ref="H2:H10" si="0">(J2-0.0549)/0.0239*80</f>
        <v>644.464692701069</v>
      </c>
      <c r="J2" s="1">
        <v>0.24743382694444438</v>
      </c>
      <c r="K2" s="1">
        <v>0.12628021650000018</v>
      </c>
      <c r="L2" s="1">
        <v>0.87778572666666677</v>
      </c>
      <c r="P2">
        <f t="shared" ref="P2:P9" si="1">80*(353.93*J2-13.33)</f>
        <v>5939.5403496357767</v>
      </c>
    </row>
    <row r="3" spans="1:18" x14ac:dyDescent="0.2">
      <c r="A3" s="4" t="s">
        <v>8</v>
      </c>
      <c r="B3">
        <v>5</v>
      </c>
      <c r="C3" s="20">
        <f t="shared" ref="C3:C9" si="2">80*(4.1224*K3-0.0766)</f>
        <v>4.817347035573702</v>
      </c>
      <c r="D3" s="20">
        <f t="shared" ref="D3:D9" si="3">(1.4692*L3-0.07238)*80</f>
        <v>-1.5841014818539723</v>
      </c>
      <c r="E3" s="20">
        <f>(11.007*M3-0.65)*50</f>
        <v>22.369895</v>
      </c>
      <c r="F3">
        <f t="shared" ref="F3:F10" si="4">SUM(C3:E3)</f>
        <v>25.603140553719729</v>
      </c>
      <c r="G3">
        <f t="shared" ref="G3:G9" si="5">(F2-F3)/(B3-B2)</f>
        <v>36.213918035374597</v>
      </c>
      <c r="H3">
        <f>(J3-0.0549)/0.0239*80</f>
        <v>250.25743098131866</v>
      </c>
      <c r="I3">
        <f>(H2-H3)/5</f>
        <v>78.841452343950067</v>
      </c>
      <c r="J3" s="1">
        <v>0.12966440750566896</v>
      </c>
      <c r="K3" s="1">
        <v>3.3188637188208636E-2</v>
      </c>
      <c r="L3" s="1">
        <v>3.57873206349206E-2</v>
      </c>
      <c r="M3">
        <v>9.9699999999999997E-2</v>
      </c>
      <c r="N3" s="6">
        <v>2.7690000000000001</v>
      </c>
      <c r="O3">
        <v>0.16719999999999999</v>
      </c>
      <c r="P3">
        <f t="shared" si="1"/>
        <v>2604.9698998785134</v>
      </c>
      <c r="Q3">
        <f>N3*40</f>
        <v>110.76</v>
      </c>
      <c r="R3">
        <f t="shared" ref="R3:R10" si="6">O3*50*18</f>
        <v>150.47999999999999</v>
      </c>
    </row>
    <row r="4" spans="1:18" x14ac:dyDescent="0.2">
      <c r="A4" s="4" t="s">
        <v>9</v>
      </c>
      <c r="B4">
        <v>6</v>
      </c>
      <c r="C4" s="20">
        <f t="shared" si="2"/>
        <v>4.6493414185796</v>
      </c>
      <c r="D4" s="20">
        <f t="shared" si="3"/>
        <v>17.206373738700513</v>
      </c>
      <c r="E4" s="20">
        <f t="shared" ref="E4:E10" si="7">(11.007*M4-0.65)*50</f>
        <v>40.641514999999991</v>
      </c>
      <c r="F4">
        <f t="shared" si="4"/>
        <v>62.4972301572801</v>
      </c>
      <c r="G4" s="3" t="s">
        <v>21</v>
      </c>
      <c r="H4">
        <f t="shared" si="0"/>
        <v>266.88817351208263</v>
      </c>
      <c r="J4" s="1">
        <v>0.13463284183673468</v>
      </c>
      <c r="K4" s="1">
        <v>3.2679208163265333E-2</v>
      </c>
      <c r="L4" s="1">
        <v>0.19565727724867713</v>
      </c>
      <c r="M4">
        <v>0.13289999999999999</v>
      </c>
      <c r="N4" s="6">
        <v>2.7149999999999999</v>
      </c>
      <c r="O4">
        <v>0.1343</v>
      </c>
      <c r="P4">
        <f t="shared" si="1"/>
        <v>2745.6481369020407</v>
      </c>
      <c r="Q4">
        <f t="shared" ref="Q4:Q10" si="8">N4*40</f>
        <v>108.6</v>
      </c>
      <c r="R4">
        <f t="shared" si="6"/>
        <v>120.87</v>
      </c>
    </row>
    <row r="5" spans="1:18" x14ac:dyDescent="0.2">
      <c r="A5" s="4" t="s">
        <v>10</v>
      </c>
      <c r="B5">
        <v>8</v>
      </c>
      <c r="C5" s="20">
        <f t="shared" si="2"/>
        <v>-0.81664442457833442</v>
      </c>
      <c r="D5" s="20">
        <f t="shared" si="3"/>
        <v>-0.83095531188486893</v>
      </c>
      <c r="E5" s="20">
        <f t="shared" si="7"/>
        <v>29.029129999999999</v>
      </c>
      <c r="F5">
        <f t="shared" si="4"/>
        <v>27.381530263536796</v>
      </c>
      <c r="G5">
        <f t="shared" si="5"/>
        <v>17.557849946871652</v>
      </c>
      <c r="H5">
        <f t="shared" si="0"/>
        <v>45.896424791746931</v>
      </c>
      <c r="I5">
        <f>(H4-H5)/(B5-B4)</f>
        <v>110.49587436016785</v>
      </c>
      <c r="J5" s="1">
        <v>6.8611556906534393E-2</v>
      </c>
      <c r="K5" s="1">
        <v>1.610516803143092E-2</v>
      </c>
      <c r="L5" s="1">
        <v>4.2195112034739406E-2</v>
      </c>
      <c r="M5">
        <v>0.1118</v>
      </c>
      <c r="N5" s="6">
        <v>3.4820000000000002</v>
      </c>
      <c r="O5">
        <v>0.28639999999999999</v>
      </c>
      <c r="P5">
        <f t="shared" si="1"/>
        <v>876.29506687437743</v>
      </c>
      <c r="Q5">
        <f t="shared" si="8"/>
        <v>139.28</v>
      </c>
      <c r="R5">
        <f t="shared" si="6"/>
        <v>257.76</v>
      </c>
    </row>
    <row r="6" spans="1:18" x14ac:dyDescent="0.2">
      <c r="A6" s="4" t="s">
        <v>11</v>
      </c>
      <c r="B6">
        <v>9</v>
      </c>
      <c r="C6" s="20">
        <f t="shared" si="2"/>
        <v>6.3896016810125396</v>
      </c>
      <c r="D6" s="20">
        <f t="shared" si="3"/>
        <v>-1.2520891965678933</v>
      </c>
      <c r="E6" s="20">
        <f t="shared" si="7"/>
        <v>24.075980000000001</v>
      </c>
      <c r="F6">
        <f t="shared" si="4"/>
        <v>29.213492484444647</v>
      </c>
      <c r="G6">
        <f t="shared" si="5"/>
        <v>-1.831962220907851</v>
      </c>
      <c r="H6">
        <f t="shared" si="0"/>
        <v>153.37779895855215</v>
      </c>
      <c r="J6" s="1">
        <v>0.10072161743886746</v>
      </c>
      <c r="K6" s="1">
        <v>3.795605011950727E-2</v>
      </c>
      <c r="L6" s="1">
        <v>3.8612091643684544E-2</v>
      </c>
      <c r="M6">
        <v>0.1028</v>
      </c>
      <c r="N6" s="6">
        <v>2.7320000000000002</v>
      </c>
      <c r="O6">
        <v>0.1724</v>
      </c>
      <c r="P6">
        <f t="shared" si="1"/>
        <v>1785.472164811069</v>
      </c>
      <c r="Q6">
        <f t="shared" si="8"/>
        <v>109.28</v>
      </c>
      <c r="R6">
        <f t="shared" si="6"/>
        <v>155.16</v>
      </c>
    </row>
    <row r="7" spans="1:18" x14ac:dyDescent="0.2">
      <c r="A7" s="4" t="s">
        <v>12</v>
      </c>
      <c r="B7">
        <v>10</v>
      </c>
      <c r="C7" s="20">
        <f t="shared" si="2"/>
        <v>9.0161230035997741E-2</v>
      </c>
      <c r="D7" s="20">
        <f t="shared" si="3"/>
        <v>0.56163747460585611</v>
      </c>
      <c r="E7" s="20">
        <f t="shared" si="7"/>
        <v>22.700104999999997</v>
      </c>
      <c r="F7">
        <f t="shared" si="4"/>
        <v>23.351903704641852</v>
      </c>
      <c r="G7">
        <f t="shared" si="5"/>
        <v>5.8615887798027941</v>
      </c>
      <c r="H7">
        <f t="shared" si="0"/>
        <v>111.28404522389397</v>
      </c>
      <c r="I7">
        <f>(H6-H7)/(B7-B6)</f>
        <v>42.093753734658179</v>
      </c>
      <c r="J7" s="1">
        <v>8.8146108510638324E-2</v>
      </c>
      <c r="K7" s="1">
        <v>1.8854797054009793E-2</v>
      </c>
      <c r="L7" s="1">
        <v>5.4043335442807781E-2</v>
      </c>
      <c r="M7">
        <v>0.1003</v>
      </c>
      <c r="N7" s="6">
        <v>3.4729999999999999</v>
      </c>
      <c r="O7">
        <v>0.32029999999999997</v>
      </c>
      <c r="P7">
        <f t="shared" si="1"/>
        <v>1429.4041748136181</v>
      </c>
      <c r="Q7">
        <f t="shared" si="8"/>
        <v>138.91999999999999</v>
      </c>
      <c r="R7">
        <f t="shared" si="6"/>
        <v>288.26999999999992</v>
      </c>
    </row>
    <row r="8" spans="1:18" x14ac:dyDescent="0.2">
      <c r="A8" s="4" t="s">
        <v>13</v>
      </c>
      <c r="B8">
        <v>11</v>
      </c>
      <c r="C8" s="20">
        <f t="shared" si="2"/>
        <v>7.258705748738528</v>
      </c>
      <c r="D8" s="20">
        <f t="shared" si="3"/>
        <v>82.582943901856964</v>
      </c>
      <c r="E8" s="20">
        <f t="shared" si="7"/>
        <v>96.391969999999986</v>
      </c>
      <c r="F8">
        <f t="shared" si="4"/>
        <v>186.23361965059547</v>
      </c>
      <c r="G8" s="3" t="s">
        <v>21</v>
      </c>
      <c r="H8">
        <f t="shared" si="0"/>
        <v>499.023751642126</v>
      </c>
      <c r="J8" s="1">
        <v>0.20398334580308516</v>
      </c>
      <c r="K8" s="1">
        <v>4.059135985329701E-2</v>
      </c>
      <c r="L8" s="1">
        <v>0.75188320090744076</v>
      </c>
      <c r="M8">
        <v>0.23419999999999999</v>
      </c>
      <c r="N8" s="6">
        <v>6.2249999999999996</v>
      </c>
      <c r="O8">
        <v>0.38229999999999997</v>
      </c>
      <c r="P8">
        <f t="shared" si="1"/>
        <v>4709.2660464068749</v>
      </c>
      <c r="Q8">
        <f t="shared" si="8"/>
        <v>249</v>
      </c>
      <c r="R8">
        <f t="shared" si="6"/>
        <v>344.07</v>
      </c>
    </row>
    <row r="9" spans="1:18" x14ac:dyDescent="0.2">
      <c r="A9" s="4" t="s">
        <v>14</v>
      </c>
      <c r="B9">
        <v>14</v>
      </c>
      <c r="C9" s="20">
        <f t="shared" si="2"/>
        <v>5.7315139624954181</v>
      </c>
      <c r="D9" s="20">
        <f t="shared" si="3"/>
        <v>48.876355593084099</v>
      </c>
      <c r="E9" s="20">
        <f t="shared" si="7"/>
        <v>78.945875000000015</v>
      </c>
      <c r="F9">
        <f t="shared" si="4"/>
        <v>133.55374455557953</v>
      </c>
      <c r="G9">
        <f t="shared" si="5"/>
        <v>17.559958365005315</v>
      </c>
      <c r="H9">
        <f t="shared" si="0"/>
        <v>459.1208990597633</v>
      </c>
      <c r="J9" s="1">
        <v>0.1920623685941043</v>
      </c>
      <c r="K9" s="1">
        <v>3.5960587165532874E-2</v>
      </c>
      <c r="L9" s="1">
        <v>0.4651064830612246</v>
      </c>
      <c r="M9">
        <v>0.20250000000000001</v>
      </c>
      <c r="N9" s="6">
        <v>5.883</v>
      </c>
      <c r="O9">
        <v>0.26329999999999998</v>
      </c>
      <c r="P9">
        <f t="shared" si="1"/>
        <v>4371.7307293209069</v>
      </c>
      <c r="Q9">
        <f t="shared" si="8"/>
        <v>235.32</v>
      </c>
      <c r="R9">
        <f t="shared" si="6"/>
        <v>236.96999999999997</v>
      </c>
    </row>
    <row r="10" spans="1:18" x14ac:dyDescent="0.2">
      <c r="A10" s="5" t="s">
        <v>19</v>
      </c>
      <c r="B10">
        <v>18</v>
      </c>
      <c r="C10" s="20">
        <v>8.23</v>
      </c>
      <c r="D10" s="20">
        <v>0.99</v>
      </c>
      <c r="E10" s="20">
        <f t="shared" si="7"/>
        <v>0.41092999999999824</v>
      </c>
      <c r="F10">
        <f t="shared" si="4"/>
        <v>9.6309299999999993</v>
      </c>
      <c r="G10">
        <f>(F9-F10)/(B10-B9)</f>
        <v>30.98070363889488</v>
      </c>
      <c r="H10">
        <f t="shared" si="0"/>
        <v>153.92482380955809</v>
      </c>
      <c r="I10">
        <f>(H9-H10)/(B10-B9)</f>
        <v>76.29901881255131</v>
      </c>
      <c r="J10" s="1">
        <v>0.10088504111310548</v>
      </c>
      <c r="M10">
        <v>5.9799999999999999E-2</v>
      </c>
      <c r="N10" s="6">
        <v>4.1219999999999999</v>
      </c>
      <c r="O10">
        <v>0.1885</v>
      </c>
      <c r="Q10">
        <f t="shared" si="8"/>
        <v>164.88</v>
      </c>
      <c r="R10">
        <f t="shared" si="6"/>
        <v>169.65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BC029-8CB4-1E4C-91D3-3DC39FF8EF4E}">
  <dimension ref="A1:W19"/>
  <sheetViews>
    <sheetView zoomScale="119" workbookViewId="0">
      <selection activeCell="I6" sqref="I6"/>
    </sheetView>
  </sheetViews>
  <sheetFormatPr baseColWidth="10" defaultRowHeight="16" x14ac:dyDescent="0.2"/>
  <cols>
    <col min="19" max="20" width="13.33203125" customWidth="1"/>
    <col min="21" max="23" width="10" customWidth="1"/>
  </cols>
  <sheetData>
    <row r="1" spans="1:23" s="9" customFormat="1" x14ac:dyDescent="0.2">
      <c r="A1" s="9" t="s">
        <v>0</v>
      </c>
      <c r="B1" s="9" t="s">
        <v>1</v>
      </c>
      <c r="C1" s="9" t="s">
        <v>23</v>
      </c>
      <c r="D1" s="9" t="s">
        <v>2</v>
      </c>
      <c r="E1" s="9" t="s">
        <v>3</v>
      </c>
      <c r="F1" s="9" t="s">
        <v>4</v>
      </c>
      <c r="G1" s="9" t="s">
        <v>18</v>
      </c>
      <c r="H1" s="9" t="s">
        <v>5</v>
      </c>
      <c r="I1" s="9" t="s">
        <v>17</v>
      </c>
      <c r="J1" s="9" t="s">
        <v>6</v>
      </c>
      <c r="K1" s="9" t="s">
        <v>15</v>
      </c>
      <c r="L1" s="9" t="s">
        <v>16</v>
      </c>
      <c r="M1" s="9" t="s">
        <v>65</v>
      </c>
      <c r="N1" s="9" t="s">
        <v>66</v>
      </c>
      <c r="O1" s="9" t="s">
        <v>67</v>
      </c>
      <c r="P1" s="9" t="s">
        <v>70</v>
      </c>
      <c r="Q1" s="9" t="s">
        <v>69</v>
      </c>
      <c r="R1" s="9" t="s">
        <v>68</v>
      </c>
      <c r="S1" s="14" t="s">
        <v>71</v>
      </c>
      <c r="T1" s="14" t="s">
        <v>91</v>
      </c>
      <c r="U1" s="14" t="s">
        <v>89</v>
      </c>
      <c r="V1" s="9" t="s">
        <v>88</v>
      </c>
      <c r="W1" s="9" t="s">
        <v>90</v>
      </c>
    </row>
    <row r="2" spans="1:23" x14ac:dyDescent="0.2">
      <c r="A2" s="10" t="s">
        <v>58</v>
      </c>
      <c r="B2">
        <v>0</v>
      </c>
      <c r="D2">
        <f>80*(4.1224*J2-0.0766)</f>
        <v>-1.0769671204614584E-2</v>
      </c>
      <c r="E2">
        <f>(1.4692*K2-0.07238)*80</f>
        <v>120.46699778686718</v>
      </c>
      <c r="F2">
        <f>(11.007*L2-0.65)*50</f>
        <v>120.66240500000001</v>
      </c>
      <c r="G2">
        <f>SUM(D2:F2)</f>
        <v>241.11863311566259</v>
      </c>
      <c r="H2">
        <f t="shared" ref="H2:H19" si="0">(I2-0.0549)/0.0239*80</f>
        <v>315.97971109964908</v>
      </c>
      <c r="I2" s="12">
        <v>0.14929893869102018</v>
      </c>
      <c r="J2" s="1">
        <v>1.854875293759517E-2</v>
      </c>
      <c r="K2" s="1">
        <v>1.074201927808222</v>
      </c>
      <c r="L2">
        <f>AVERAGE(M2:O2)</f>
        <v>0.27829999999999999</v>
      </c>
      <c r="M2">
        <v>0.26740000000000003</v>
      </c>
      <c r="N2">
        <v>0.28920000000000001</v>
      </c>
      <c r="S2" s="15"/>
      <c r="T2" s="18"/>
      <c r="U2" s="18"/>
    </row>
    <row r="3" spans="1:23" x14ac:dyDescent="0.2">
      <c r="A3" s="10" t="s">
        <v>59</v>
      </c>
      <c r="B3">
        <v>0</v>
      </c>
      <c r="D3">
        <f t="shared" ref="D3:D19" si="1">80*(4.1224*J3-0.0766)</f>
        <v>0.32100528764355207</v>
      </c>
      <c r="E3">
        <f t="shared" ref="E3:E19" si="2">(1.4692*K3-0.07238)*80</f>
        <v>169.8181968356815</v>
      </c>
      <c r="F3">
        <f t="shared" ref="F3:F19" si="3">(11.007*L3-0.65)*50</f>
        <v>113.9756525</v>
      </c>
      <c r="G3">
        <f t="shared" ref="G3:G19" si="4">SUM(D3:F3)</f>
        <v>284.11485462332507</v>
      </c>
      <c r="H3">
        <f t="shared" si="0"/>
        <v>447.131894191904</v>
      </c>
      <c r="I3" s="12">
        <v>0.18848065338983133</v>
      </c>
      <c r="J3" s="1">
        <v>1.9554765693660103E-2</v>
      </c>
      <c r="K3" s="1">
        <v>1.4940834879158853</v>
      </c>
      <c r="L3">
        <f t="shared" ref="L3:L19" si="5">AVERAGE(M3:O3)</f>
        <v>0.26615</v>
      </c>
      <c r="M3">
        <v>0.26550000000000001</v>
      </c>
      <c r="N3">
        <v>0.26679999999999998</v>
      </c>
      <c r="S3" s="15"/>
      <c r="T3" s="18"/>
      <c r="U3" s="18"/>
    </row>
    <row r="4" spans="1:23" x14ac:dyDescent="0.2">
      <c r="A4" s="10" t="s">
        <v>60</v>
      </c>
      <c r="B4">
        <v>0</v>
      </c>
      <c r="C4" t="s">
        <v>24</v>
      </c>
      <c r="D4">
        <f t="shared" si="1"/>
        <v>-1.0912165662235673</v>
      </c>
      <c r="E4">
        <f t="shared" si="2"/>
        <v>100.10225674637411</v>
      </c>
      <c r="F4">
        <f t="shared" si="3"/>
        <v>104.151905</v>
      </c>
      <c r="G4">
        <f t="shared" si="4"/>
        <v>203.16294518015053</v>
      </c>
      <c r="H4">
        <f t="shared" si="0"/>
        <v>273.7147179794477</v>
      </c>
      <c r="I4" s="12">
        <v>0.13667227199636001</v>
      </c>
      <c r="J4" s="1">
        <v>1.5272606472493067E-2</v>
      </c>
      <c r="K4" s="1">
        <v>0.90093806788025899</v>
      </c>
      <c r="L4">
        <f t="shared" si="5"/>
        <v>0.24829999999999999</v>
      </c>
      <c r="M4">
        <v>0.24640000000000001</v>
      </c>
      <c r="N4">
        <v>0.25019999999999998</v>
      </c>
      <c r="P4" s="15">
        <f t="shared" ref="P4:Q4" si="6">(1-E4/E2)*100</f>
        <v>16.904829882556559</v>
      </c>
      <c r="Q4" s="15">
        <f t="shared" si="6"/>
        <v>13.683218066140823</v>
      </c>
      <c r="R4" s="15">
        <f>(1-G4/G2)*100</f>
        <v>15.74149929645008</v>
      </c>
      <c r="S4" s="15">
        <f>(1-H4/H2)*100</f>
        <v>13.375856624817429</v>
      </c>
      <c r="T4" s="17">
        <f>(E2-E4)/4</f>
        <v>5.0911852601232681</v>
      </c>
      <c r="U4" s="17">
        <f>(F2-F4)/4</f>
        <v>4.1276250000000019</v>
      </c>
      <c r="V4" s="17">
        <f>(G2-G4)/4</f>
        <v>9.488921983878015</v>
      </c>
      <c r="W4" s="17">
        <f>(H2-H4)/4</f>
        <v>10.566248280050345</v>
      </c>
    </row>
    <row r="5" spans="1:23" x14ac:dyDescent="0.2">
      <c r="A5" s="10" t="s">
        <v>61</v>
      </c>
      <c r="B5">
        <v>0</v>
      </c>
      <c r="C5" t="s">
        <v>25</v>
      </c>
      <c r="D5">
        <f t="shared" si="1"/>
        <v>-0.91168051075766865</v>
      </c>
      <c r="E5">
        <f t="shared" si="2"/>
        <v>90.02470540358442</v>
      </c>
      <c r="F5">
        <f t="shared" si="3"/>
        <v>97.8503975</v>
      </c>
      <c r="G5">
        <f t="shared" si="4"/>
        <v>186.96342239282677</v>
      </c>
      <c r="H5">
        <f t="shared" si="0"/>
        <v>236.03873544952646</v>
      </c>
      <c r="I5" s="12">
        <v>0.12541657221554603</v>
      </c>
      <c r="J5" s="1">
        <v>1.5816998257211612E-2</v>
      </c>
      <c r="K5" s="1">
        <v>0.81519794278845992</v>
      </c>
      <c r="L5">
        <f t="shared" si="5"/>
        <v>0.23685</v>
      </c>
      <c r="M5">
        <v>0.23369999999999999</v>
      </c>
      <c r="N5">
        <v>0.24</v>
      </c>
      <c r="P5" s="15">
        <f t="shared" ref="P5:Q5" si="7">(1-E5/E3)*100</f>
        <v>46.98759786579668</v>
      </c>
      <c r="Q5" s="15">
        <f t="shared" si="7"/>
        <v>14.147982175403639</v>
      </c>
      <c r="R5" s="15">
        <f>(1-G5/G3)*100</f>
        <v>34.194421956324703</v>
      </c>
      <c r="S5" s="15">
        <f>(1-H5/H3)*100</f>
        <v>47.210490122580865</v>
      </c>
      <c r="T5" s="17">
        <f>(E3-E6)/4</f>
        <v>21.694159469879907</v>
      </c>
      <c r="U5" s="17">
        <f>(F3-F6)/4</f>
        <v>1.4997037500000054</v>
      </c>
      <c r="V5" s="17">
        <f>(G3-G6)/4</f>
        <v>23.655878141410369</v>
      </c>
      <c r="W5" s="17">
        <f>(H3-H6)/4</f>
        <v>46.653598862158688</v>
      </c>
    </row>
    <row r="6" spans="1:23" x14ac:dyDescent="0.2">
      <c r="A6" s="10" t="s">
        <v>62</v>
      </c>
      <c r="B6">
        <v>0</v>
      </c>
      <c r="C6" t="s">
        <v>24</v>
      </c>
      <c r="D6">
        <f t="shared" si="1"/>
        <v>-1.5270543984782659</v>
      </c>
      <c r="E6">
        <f t="shared" si="2"/>
        <v>83.041558956161879</v>
      </c>
      <c r="F6">
        <f t="shared" si="3"/>
        <v>107.97683749999997</v>
      </c>
      <c r="G6">
        <f t="shared" si="4"/>
        <v>189.4913420576836</v>
      </c>
      <c r="H6">
        <f t="shared" si="0"/>
        <v>260.51749874326924</v>
      </c>
      <c r="I6" s="12">
        <v>0.1327296027495517</v>
      </c>
      <c r="J6" s="1">
        <v>1.3951052789399787E-2</v>
      </c>
      <c r="K6" s="1">
        <v>0.75578511227336187</v>
      </c>
      <c r="L6">
        <f t="shared" si="5"/>
        <v>0.25524999999999998</v>
      </c>
      <c r="M6">
        <v>0.24890000000000001</v>
      </c>
      <c r="N6">
        <v>0.2616</v>
      </c>
      <c r="P6" s="15">
        <f t="shared" ref="P6:Q6" si="8">(1-E6/E2)*100</f>
        <v>31.066963996993767</v>
      </c>
      <c r="Q6" s="15">
        <f t="shared" si="8"/>
        <v>10.513272547484886</v>
      </c>
      <c r="R6" s="15">
        <f>(1-G6/G2)*100</f>
        <v>21.411572548693826</v>
      </c>
      <c r="S6" s="15">
        <f>(1-H6/H2)*100</f>
        <v>17.552459986549252</v>
      </c>
      <c r="T6" s="17">
        <f t="shared" ref="T6:W7" si="9">(E2-E6)/4</f>
        <v>9.3563597076763259</v>
      </c>
      <c r="U6" s="17">
        <f t="shared" si="9"/>
        <v>3.1713918750000083</v>
      </c>
      <c r="V6" s="17">
        <f t="shared" si="9"/>
        <v>12.906822764494748</v>
      </c>
      <c r="W6" s="17">
        <f t="shared" si="9"/>
        <v>13.865553089094959</v>
      </c>
    </row>
    <row r="7" spans="1:23" x14ac:dyDescent="0.2">
      <c r="A7" s="10" t="s">
        <v>52</v>
      </c>
      <c r="B7">
        <v>0</v>
      </c>
      <c r="C7" t="s">
        <v>25</v>
      </c>
      <c r="D7">
        <f t="shared" si="1"/>
        <v>1.1885646556303242</v>
      </c>
      <c r="E7">
        <f t="shared" si="2"/>
        <v>136.63695143550453</v>
      </c>
      <c r="F7">
        <f t="shared" si="3"/>
        <v>106.62847999999998</v>
      </c>
      <c r="G7">
        <f t="shared" si="4"/>
        <v>244.45399609113485</v>
      </c>
      <c r="H7">
        <f t="shared" si="0"/>
        <v>247.84638835083652</v>
      </c>
      <c r="I7" s="12">
        <v>0.12894410851981242</v>
      </c>
      <c r="J7" s="1">
        <v>2.2185391566897694E-2</v>
      </c>
      <c r="K7" s="1">
        <v>1.2117764041272845</v>
      </c>
      <c r="L7">
        <f t="shared" si="5"/>
        <v>0.25279999999999997</v>
      </c>
      <c r="M7">
        <v>0.25729999999999997</v>
      </c>
      <c r="N7">
        <v>0.24829999999999999</v>
      </c>
      <c r="P7" s="15">
        <f t="shared" ref="P7:Q7" si="10">(1-E7/E3)*100</f>
        <v>19.539275541998379</v>
      </c>
      <c r="Q7" s="15">
        <f t="shared" si="10"/>
        <v>6.4462649160968999</v>
      </c>
      <c r="R7" s="15">
        <f>(1-G7/G3)*100</f>
        <v>13.959445585755081</v>
      </c>
      <c r="S7" s="15">
        <f>(1-H7/H3)*100</f>
        <v>44.569736229895597</v>
      </c>
      <c r="T7" s="17">
        <f t="shared" si="9"/>
        <v>8.2953113500442441</v>
      </c>
      <c r="U7" s="17">
        <f t="shared" si="9"/>
        <v>1.8367931250000034</v>
      </c>
      <c r="V7" s="17">
        <f t="shared" si="9"/>
        <v>9.9152146330475546</v>
      </c>
      <c r="W7" s="17">
        <f t="shared" si="9"/>
        <v>49.821376460266869</v>
      </c>
    </row>
    <row r="8" spans="1:23" x14ac:dyDescent="0.2">
      <c r="A8" s="10" t="s">
        <v>63</v>
      </c>
      <c r="B8">
        <v>2</v>
      </c>
      <c r="D8">
        <f t="shared" si="1"/>
        <v>0.29612463347734375</v>
      </c>
      <c r="E8">
        <f t="shared" si="2"/>
        <v>110.03708157910893</v>
      </c>
      <c r="F8">
        <f t="shared" si="3"/>
        <v>109.13257249999999</v>
      </c>
      <c r="G8">
        <f t="shared" si="4"/>
        <v>219.46577871258626</v>
      </c>
      <c r="H8">
        <f t="shared" si="0"/>
        <v>298.26903957406103</v>
      </c>
      <c r="I8" s="12">
        <v>0.14400787557275074</v>
      </c>
      <c r="J8" s="1">
        <v>1.9479322219694062E-2</v>
      </c>
      <c r="K8" s="1">
        <v>0.98546387131694901</v>
      </c>
      <c r="L8">
        <f t="shared" si="5"/>
        <v>0.25734999999999997</v>
      </c>
      <c r="M8" s="13">
        <v>0.24590000000000001</v>
      </c>
      <c r="N8" s="13">
        <v>0.26879999999999998</v>
      </c>
      <c r="S8" s="15"/>
      <c r="T8" s="18"/>
      <c r="U8" s="18"/>
    </row>
    <row r="9" spans="1:23" x14ac:dyDescent="0.2">
      <c r="A9" s="10" t="s">
        <v>59</v>
      </c>
      <c r="B9">
        <v>2</v>
      </c>
      <c r="D9">
        <f t="shared" si="1"/>
        <v>-0.81127160316874058</v>
      </c>
      <c r="E9">
        <f t="shared" si="2"/>
        <v>121.31107561179317</v>
      </c>
      <c r="F9">
        <f t="shared" si="3"/>
        <v>112.3796375</v>
      </c>
      <c r="G9">
        <f t="shared" si="4"/>
        <v>232.87944150862444</v>
      </c>
      <c r="H9">
        <f t="shared" si="0"/>
        <v>303.77565461999563</v>
      </c>
      <c r="I9" s="12">
        <v>0.14565297681772371</v>
      </c>
      <c r="J9" s="1">
        <v>1.6121459577040254E-2</v>
      </c>
      <c r="K9" s="1">
        <v>1.0813833686002003</v>
      </c>
      <c r="L9">
        <f t="shared" si="5"/>
        <v>0.26324999999999998</v>
      </c>
      <c r="M9" s="13">
        <v>0.24129999999999999</v>
      </c>
      <c r="N9" s="13">
        <v>0.28520000000000001</v>
      </c>
      <c r="S9" s="15"/>
      <c r="T9" s="18"/>
      <c r="U9" s="18"/>
    </row>
    <row r="10" spans="1:23" x14ac:dyDescent="0.2">
      <c r="A10" s="10" t="s">
        <v>60</v>
      </c>
      <c r="B10">
        <v>2</v>
      </c>
      <c r="C10" t="s">
        <v>24</v>
      </c>
      <c r="D10">
        <f t="shared" si="1"/>
        <v>-1.4402907284036814</v>
      </c>
      <c r="E10">
        <f t="shared" si="2"/>
        <v>85.693839049234057</v>
      </c>
      <c r="F10">
        <f t="shared" si="3"/>
        <v>123.90947000000001</v>
      </c>
      <c r="G10">
        <f t="shared" si="4"/>
        <v>208.16301832083039</v>
      </c>
      <c r="H10">
        <f t="shared" si="0"/>
        <v>261.11511924781399</v>
      </c>
      <c r="I10" s="12">
        <v>0.13290814187528444</v>
      </c>
      <c r="J10" s="1">
        <v>1.4214138825672906E-2</v>
      </c>
      <c r="K10" s="1">
        <v>0.77835079506903471</v>
      </c>
      <c r="L10">
        <f t="shared" si="5"/>
        <v>0.28420000000000001</v>
      </c>
      <c r="M10" s="13">
        <v>0.2324</v>
      </c>
      <c r="N10" s="13">
        <v>0.33600000000000002</v>
      </c>
      <c r="P10" s="15">
        <f t="shared" ref="P10:Q10" si="11">(1-E10/E8)*100</f>
        <v>22.122762781902562</v>
      </c>
      <c r="Q10" s="15">
        <f t="shared" si="11"/>
        <v>-13.540318130043172</v>
      </c>
      <c r="R10" s="15">
        <f>(1-G10/G8)*100</f>
        <v>5.1501242963979514</v>
      </c>
      <c r="S10" s="15">
        <f>(1-H10/H8)*100</f>
        <v>12.456512542939146</v>
      </c>
      <c r="T10" s="17">
        <f t="shared" ref="T10:W11" si="12">(E8-E10)/4</f>
        <v>6.0858106324687178</v>
      </c>
      <c r="U10" s="17">
        <f t="shared" si="12"/>
        <v>-3.6942243750000046</v>
      </c>
      <c r="V10" s="17">
        <f t="shared" si="12"/>
        <v>2.825690097938967</v>
      </c>
      <c r="W10" s="17">
        <f t="shared" si="12"/>
        <v>9.2884800815617581</v>
      </c>
    </row>
    <row r="11" spans="1:23" x14ac:dyDescent="0.2">
      <c r="A11" s="10" t="s">
        <v>61</v>
      </c>
      <c r="B11">
        <v>2</v>
      </c>
      <c r="C11" t="s">
        <v>25</v>
      </c>
      <c r="D11">
        <f t="shared" si="1"/>
        <v>-1.509346623403296</v>
      </c>
      <c r="E11">
        <f t="shared" si="2"/>
        <v>73.557684882805262</v>
      </c>
      <c r="F11">
        <f t="shared" si="3"/>
        <v>101.81291749999998</v>
      </c>
      <c r="G11">
        <f t="shared" si="4"/>
        <v>173.86125575940196</v>
      </c>
      <c r="H11">
        <f t="shared" si="0"/>
        <v>222.3183584004671</v>
      </c>
      <c r="I11" s="12">
        <v>0.12131760957213955</v>
      </c>
      <c r="J11" s="1">
        <v>1.4004746557213954E-2</v>
      </c>
      <c r="K11" s="1">
        <v>0.67509601213930415</v>
      </c>
      <c r="L11">
        <f t="shared" si="5"/>
        <v>0.24404999999999999</v>
      </c>
      <c r="M11" s="13">
        <v>0.25190000000000001</v>
      </c>
      <c r="N11" s="13">
        <v>0.23619999999999999</v>
      </c>
      <c r="P11" s="15">
        <f t="shared" ref="P11:Q11" si="13">(1-E11/E9)*100</f>
        <v>39.364411277502178</v>
      </c>
      <c r="Q11" s="15">
        <f t="shared" si="13"/>
        <v>9.4026998440887688</v>
      </c>
      <c r="R11" s="15">
        <f>(1-G11/G9)*100</f>
        <v>25.342806289337826</v>
      </c>
      <c r="S11" s="15">
        <f>(1-H11/H9)*100</f>
        <v>26.814952080813224</v>
      </c>
      <c r="T11" s="17">
        <f t="shared" si="12"/>
        <v>11.938347682246977</v>
      </c>
      <c r="U11" s="17">
        <f t="shared" si="12"/>
        <v>2.6416800000000045</v>
      </c>
      <c r="V11" s="17">
        <f t="shared" si="12"/>
        <v>14.754546437305621</v>
      </c>
      <c r="W11" s="17">
        <f t="shared" si="12"/>
        <v>20.364324054882132</v>
      </c>
    </row>
    <row r="12" spans="1:23" x14ac:dyDescent="0.2">
      <c r="A12" s="10" t="s">
        <v>62</v>
      </c>
      <c r="B12">
        <v>2</v>
      </c>
      <c r="C12" t="s">
        <v>24</v>
      </c>
      <c r="D12">
        <f t="shared" si="1"/>
        <v>-1.1085429647819545</v>
      </c>
      <c r="E12">
        <f t="shared" si="2"/>
        <v>104.21242403907701</v>
      </c>
      <c r="F12">
        <f t="shared" si="3"/>
        <v>108.30704750000002</v>
      </c>
      <c r="G12">
        <f t="shared" si="4"/>
        <v>211.41092857429507</v>
      </c>
      <c r="H12">
        <f t="shared" si="0"/>
        <v>376.99492927589938</v>
      </c>
      <c r="I12" s="12">
        <v>0.16752723512117496</v>
      </c>
      <c r="J12" s="1">
        <v>1.5220069119984858E-2</v>
      </c>
      <c r="K12" s="1">
        <v>0.93590750101311104</v>
      </c>
      <c r="L12">
        <f t="shared" si="5"/>
        <v>0.25585000000000002</v>
      </c>
      <c r="M12" s="13">
        <v>0.2515</v>
      </c>
      <c r="N12" s="13">
        <v>0.26019999999999999</v>
      </c>
      <c r="P12" s="15">
        <f t="shared" ref="P12:Q12" si="14">(1-E12/E8)*100</f>
        <v>5.2933587990921076</v>
      </c>
      <c r="Q12" s="15">
        <f t="shared" si="14"/>
        <v>0.75644235363366841</v>
      </c>
      <c r="R12" s="15">
        <f>(1-G12/G8)*100</f>
        <v>3.6702078043975406</v>
      </c>
      <c r="S12" s="15">
        <f>(1-H12/H8)*100</f>
        <v>-26.394254601235765</v>
      </c>
      <c r="T12" s="17">
        <f t="shared" ref="T12:W13" si="15">(E8-E12)/4</f>
        <v>1.4561643850079804</v>
      </c>
      <c r="U12" s="17">
        <f t="shared" si="15"/>
        <v>0.20638124999999263</v>
      </c>
      <c r="V12" s="17">
        <f t="shared" si="15"/>
        <v>2.0137125345727966</v>
      </c>
      <c r="W12" s="17">
        <f t="shared" si="15"/>
        <v>-19.681472425459589</v>
      </c>
    </row>
    <row r="13" spans="1:23" x14ac:dyDescent="0.2">
      <c r="A13" s="11" t="s">
        <v>52</v>
      </c>
      <c r="B13">
        <v>2</v>
      </c>
      <c r="C13" t="s">
        <v>25</v>
      </c>
      <c r="D13">
        <f t="shared" si="1"/>
        <v>0.31003937596732256</v>
      </c>
      <c r="E13">
        <f t="shared" si="2"/>
        <v>95.682956028801442</v>
      </c>
      <c r="F13">
        <f t="shared" si="3"/>
        <v>108.3896</v>
      </c>
      <c r="G13">
        <f t="shared" si="4"/>
        <v>204.38259540476878</v>
      </c>
      <c r="H13">
        <f t="shared" si="0"/>
        <v>218.22602084743266</v>
      </c>
      <c r="I13" s="12">
        <v>0.12009502372817051</v>
      </c>
      <c r="J13" s="1">
        <v>1.9521514700075571E-2</v>
      </c>
      <c r="K13" s="1">
        <v>0.86333851780562076</v>
      </c>
      <c r="L13">
        <f t="shared" si="5"/>
        <v>0.25600000000000001</v>
      </c>
      <c r="M13" s="13">
        <v>0.254</v>
      </c>
      <c r="N13" s="13">
        <v>0.25800000000000001</v>
      </c>
      <c r="P13" s="15">
        <f t="shared" ref="P13:Q13" si="16">(1-E13/E9)*100</f>
        <v>21.125951982326917</v>
      </c>
      <c r="Q13" s="15">
        <f t="shared" si="16"/>
        <v>3.5504986390439308</v>
      </c>
      <c r="R13" s="15">
        <f>(1-G13/G9)*100</f>
        <v>12.236737566549127</v>
      </c>
      <c r="S13" s="15">
        <f>(1-H13/H9)*100</f>
        <v>28.162109922725776</v>
      </c>
      <c r="T13" s="17">
        <f t="shared" si="15"/>
        <v>6.4070298957479324</v>
      </c>
      <c r="U13" s="17">
        <f t="shared" si="15"/>
        <v>0.99750937499999992</v>
      </c>
      <c r="V13" s="17">
        <f t="shared" si="15"/>
        <v>7.1242115259639149</v>
      </c>
      <c r="W13" s="17">
        <f t="shared" si="15"/>
        <v>21.387408443140743</v>
      </c>
    </row>
    <row r="14" spans="1:23" x14ac:dyDescent="0.2">
      <c r="A14" s="10" t="s">
        <v>64</v>
      </c>
      <c r="D14">
        <f t="shared" si="1"/>
        <v>0.13984693469044074</v>
      </c>
      <c r="E14">
        <f t="shared" si="2"/>
        <v>138.21273729163971</v>
      </c>
      <c r="F14">
        <f t="shared" si="3"/>
        <v>63.976355000000005</v>
      </c>
      <c r="G14">
        <f t="shared" si="4"/>
        <v>202.32893922633016</v>
      </c>
      <c r="H14">
        <f t="shared" si="0"/>
        <v>361.57960635638062</v>
      </c>
      <c r="I14" s="12">
        <v>0.16292190739896872</v>
      </c>
      <c r="J14" s="1">
        <v>1.9005454755392615E-2</v>
      </c>
      <c r="K14" s="1">
        <v>1.2251832399574571</v>
      </c>
      <c r="L14">
        <f t="shared" si="5"/>
        <v>0.17530000000000001</v>
      </c>
      <c r="M14" s="13">
        <v>0.1741</v>
      </c>
      <c r="N14" s="13">
        <v>0.17649999999999999</v>
      </c>
      <c r="O14" s="13"/>
      <c r="P14" s="13"/>
      <c r="Q14" s="13"/>
      <c r="R14" s="13"/>
      <c r="S14" s="15"/>
      <c r="T14" s="18"/>
      <c r="U14" s="18"/>
    </row>
    <row r="15" spans="1:23" x14ac:dyDescent="0.2">
      <c r="A15" s="10" t="s">
        <v>59</v>
      </c>
      <c r="D15">
        <f t="shared" si="1"/>
        <v>0.15561175706074515</v>
      </c>
      <c r="E15">
        <f t="shared" si="2"/>
        <v>146.82572960806533</v>
      </c>
      <c r="F15">
        <f>(11.007*L15-0.65)*50</f>
        <v>59.215827499999982</v>
      </c>
      <c r="G15">
        <f t="shared" si="4"/>
        <v>206.19716886512606</v>
      </c>
      <c r="H15">
        <f t="shared" si="0"/>
        <v>370.67343738398381</v>
      </c>
      <c r="I15" s="12">
        <v>0.16563868941846516</v>
      </c>
      <c r="J15" s="1">
        <v>1.9053257074340024E-2</v>
      </c>
      <c r="K15" s="1">
        <v>1.298462850599521</v>
      </c>
      <c r="L15">
        <f t="shared" si="5"/>
        <v>0.16664999999999999</v>
      </c>
      <c r="M15" s="13">
        <v>0.16589999999999999</v>
      </c>
      <c r="N15" s="13">
        <v>0.16739999999999999</v>
      </c>
      <c r="O15" s="13"/>
      <c r="P15" s="13"/>
      <c r="Q15" s="13"/>
      <c r="R15" s="13"/>
      <c r="S15" s="15"/>
      <c r="T15" s="18"/>
      <c r="U15" s="18"/>
    </row>
    <row r="16" spans="1:23" x14ac:dyDescent="0.2">
      <c r="A16" s="10" t="s">
        <v>60</v>
      </c>
      <c r="C16" t="s">
        <v>24</v>
      </c>
      <c r="D16">
        <f t="shared" si="1"/>
        <v>-0.84637102591040625</v>
      </c>
      <c r="E16">
        <f t="shared" si="2"/>
        <v>102.04109840997762</v>
      </c>
      <c r="F16">
        <f t="shared" si="3"/>
        <v>46.777917500000008</v>
      </c>
      <c r="G16">
        <f t="shared" si="4"/>
        <v>147.97264488406722</v>
      </c>
      <c r="H16">
        <f t="shared" si="0"/>
        <v>313.49740463777408</v>
      </c>
      <c r="I16" s="12">
        <v>0.14855734963553502</v>
      </c>
      <c r="J16" s="1">
        <v>1.6015030607442249E-2</v>
      </c>
      <c r="K16" s="1">
        <v>0.91743379398633285</v>
      </c>
      <c r="L16">
        <f>AVERAGE(M16:N16)</f>
        <v>0.14405000000000001</v>
      </c>
      <c r="M16" s="13">
        <v>0.1386</v>
      </c>
      <c r="N16" s="13">
        <v>0.14949999999999999</v>
      </c>
      <c r="P16" s="15">
        <f t="shared" ref="P16:S17" si="17">(1-E16/E14)*100</f>
        <v>26.170987993195659</v>
      </c>
      <c r="Q16" s="15">
        <f t="shared" si="17"/>
        <v>26.882490413841165</v>
      </c>
      <c r="R16" s="15">
        <f t="shared" si="17"/>
        <v>26.865308813515131</v>
      </c>
      <c r="S16" s="15">
        <f t="shared" si="17"/>
        <v>13.297819034410828</v>
      </c>
      <c r="T16" s="17">
        <f t="shared" ref="T16:W17" si="18">(E14-E16)/4</f>
        <v>9.0429097204155227</v>
      </c>
      <c r="U16" s="17">
        <f t="shared" si="18"/>
        <v>4.2996093749999993</v>
      </c>
      <c r="V16" s="17">
        <f t="shared" si="18"/>
        <v>13.589073585565735</v>
      </c>
      <c r="W16" s="17">
        <f t="shared" si="18"/>
        <v>12.020550429651635</v>
      </c>
    </row>
    <row r="17" spans="1:23" x14ac:dyDescent="0.2">
      <c r="A17" s="10" t="s">
        <v>61</v>
      </c>
      <c r="C17" t="s">
        <v>25</v>
      </c>
      <c r="D17">
        <f t="shared" si="1"/>
        <v>-0.97649579868815506</v>
      </c>
      <c r="E17">
        <f t="shared" si="2"/>
        <v>94.210758814646951</v>
      </c>
      <c r="F17">
        <f>(11.007*L17-0.65)*50</f>
        <v>46.172532499999988</v>
      </c>
      <c r="G17">
        <f t="shared" si="4"/>
        <v>139.40679551595878</v>
      </c>
      <c r="H17">
        <f t="shared" si="0"/>
        <v>223.834422098716</v>
      </c>
      <c r="I17" s="12">
        <v>0.12177053360199142</v>
      </c>
      <c r="J17" s="1">
        <v>1.5620464417911428E-2</v>
      </c>
      <c r="K17" s="1">
        <v>0.85081301741293691</v>
      </c>
      <c r="L17">
        <f>AVERAGE(M17:N17)</f>
        <v>0.14294999999999999</v>
      </c>
      <c r="M17" s="13">
        <v>0.14219999999999999</v>
      </c>
      <c r="N17" s="13">
        <v>0.14369999999999999</v>
      </c>
      <c r="P17" s="15">
        <f t="shared" si="17"/>
        <v>35.834979968339397</v>
      </c>
      <c r="Q17" s="15">
        <f t="shared" si="17"/>
        <v>22.026703924723499</v>
      </c>
      <c r="R17" s="15">
        <f t="shared" si="17"/>
        <v>32.391508436691964</v>
      </c>
      <c r="S17" s="15">
        <f t="shared" si="17"/>
        <v>39.614118648905503</v>
      </c>
      <c r="T17" s="17">
        <f t="shared" si="18"/>
        <v>13.153742698354595</v>
      </c>
      <c r="U17" s="17">
        <f t="shared" si="18"/>
        <v>3.2608237499999984</v>
      </c>
      <c r="V17" s="17">
        <f t="shared" si="18"/>
        <v>16.697593337291821</v>
      </c>
      <c r="W17" s="17">
        <f t="shared" si="18"/>
        <v>36.709753821316951</v>
      </c>
    </row>
    <row r="18" spans="1:23" x14ac:dyDescent="0.2">
      <c r="A18" s="10" t="s">
        <v>62</v>
      </c>
      <c r="C18" t="s">
        <v>24</v>
      </c>
      <c r="D18">
        <f t="shared" si="1"/>
        <v>-0.87822901601228409</v>
      </c>
      <c r="E18">
        <f t="shared" si="2"/>
        <v>104.84802632283987</v>
      </c>
      <c r="F18">
        <f t="shared" si="3"/>
        <v>65.104572499999989</v>
      </c>
      <c r="G18">
        <f t="shared" si="4"/>
        <v>169.07436980682758</v>
      </c>
      <c r="H18">
        <f t="shared" si="0"/>
        <v>314.03760155344014</v>
      </c>
      <c r="I18" s="12">
        <v>0.14871873346409026</v>
      </c>
      <c r="J18" s="1">
        <v>1.5918430356065993E-2</v>
      </c>
      <c r="K18" s="1">
        <v>0.94131522531683798</v>
      </c>
      <c r="L18">
        <f t="shared" si="5"/>
        <v>0.17735000000000001</v>
      </c>
      <c r="M18" s="13">
        <v>0.1787</v>
      </c>
      <c r="N18" s="13">
        <v>0.17599999999999999</v>
      </c>
      <c r="O18" s="13"/>
      <c r="P18" s="15">
        <f t="shared" ref="P18:S19" si="19">(1-E18/E14)*100</f>
        <v>24.140113004489361</v>
      </c>
      <c r="Q18" s="15">
        <f t="shared" si="19"/>
        <v>-1.7634913711479516</v>
      </c>
      <c r="R18" s="15">
        <f t="shared" si="19"/>
        <v>16.435893721709871</v>
      </c>
      <c r="S18" s="15">
        <f t="shared" si="19"/>
        <v>13.148419868592388</v>
      </c>
      <c r="T18" s="17">
        <f t="shared" ref="T18:W19" si="20">(E14-E18)/4</f>
        <v>8.3411777421999602</v>
      </c>
      <c r="U18" s="17">
        <f t="shared" si="20"/>
        <v>-0.28205437499999597</v>
      </c>
      <c r="V18" s="17">
        <f t="shared" si="20"/>
        <v>8.3136423548756468</v>
      </c>
      <c r="W18" s="17">
        <f t="shared" si="20"/>
        <v>11.885501200735121</v>
      </c>
    </row>
    <row r="19" spans="1:23" x14ac:dyDescent="0.2">
      <c r="A19" s="10" t="s">
        <v>52</v>
      </c>
      <c r="C19" t="s">
        <v>25</v>
      </c>
      <c r="D19">
        <f t="shared" si="1"/>
        <v>-0.53542564790536318</v>
      </c>
      <c r="E19">
        <f t="shared" si="2"/>
        <v>136.47518834629636</v>
      </c>
      <c r="F19">
        <f t="shared" si="3"/>
        <v>28.643884999999997</v>
      </c>
      <c r="G19">
        <f t="shared" si="4"/>
        <v>164.58364769839102</v>
      </c>
      <c r="H19">
        <f t="shared" si="0"/>
        <v>188.83840211967765</v>
      </c>
      <c r="I19" s="12">
        <v>0.1113154726332537</v>
      </c>
      <c r="J19" s="1">
        <v>1.6957883611775415E-2</v>
      </c>
      <c r="K19" s="1">
        <v>1.21040011865553</v>
      </c>
      <c r="L19">
        <f t="shared" si="5"/>
        <v>0.1111</v>
      </c>
      <c r="M19" s="13">
        <v>0.11210000000000001</v>
      </c>
      <c r="N19" s="13">
        <v>0.1101</v>
      </c>
      <c r="O19" s="13"/>
      <c r="P19" s="15">
        <f t="shared" si="19"/>
        <v>7.0495418544137767</v>
      </c>
      <c r="Q19" s="15">
        <f t="shared" si="19"/>
        <v>51.627991688539687</v>
      </c>
      <c r="R19" s="15">
        <f t="shared" si="19"/>
        <v>20.181422177505514</v>
      </c>
      <c r="S19" s="15">
        <f t="shared" si="19"/>
        <v>49.055318489396285</v>
      </c>
      <c r="T19" s="17">
        <f t="shared" si="20"/>
        <v>2.5876353154422418</v>
      </c>
      <c r="U19" s="17">
        <f t="shared" si="20"/>
        <v>7.6429856249999961</v>
      </c>
      <c r="V19" s="17">
        <f t="shared" si="20"/>
        <v>10.40338029168376</v>
      </c>
      <c r="W19" s="17">
        <f t="shared" si="20"/>
        <v>45.458758816076539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2C791-97DE-0F4B-9124-C89A0ABC9CA0}">
  <dimension ref="A1:F49"/>
  <sheetViews>
    <sheetView workbookViewId="0">
      <selection activeCell="E10" sqref="E10"/>
    </sheetView>
  </sheetViews>
  <sheetFormatPr baseColWidth="10" defaultRowHeight="16" x14ac:dyDescent="0.2"/>
  <sheetData>
    <row r="1" spans="1:6" x14ac:dyDescent="0.2">
      <c r="A1" s="9" t="s">
        <v>0</v>
      </c>
      <c r="B1" s="9" t="s">
        <v>23</v>
      </c>
      <c r="C1" t="s">
        <v>72</v>
      </c>
      <c r="D1" t="s">
        <v>73</v>
      </c>
      <c r="E1" t="s">
        <v>86</v>
      </c>
      <c r="F1" t="s">
        <v>87</v>
      </c>
    </row>
    <row r="2" spans="1:6" x14ac:dyDescent="0.2">
      <c r="A2" s="10" t="s">
        <v>60</v>
      </c>
      <c r="B2" t="s">
        <v>24</v>
      </c>
      <c r="C2" t="s">
        <v>5</v>
      </c>
      <c r="D2" s="15">
        <v>13.375856624817429</v>
      </c>
      <c r="E2" s="16">
        <f>AVERAGE(D2,D4,D6)</f>
        <v>14.461609718101942</v>
      </c>
    </row>
    <row r="3" spans="1:6" x14ac:dyDescent="0.2">
      <c r="A3" s="10" t="s">
        <v>61</v>
      </c>
      <c r="B3" t="s">
        <v>25</v>
      </c>
      <c r="C3" t="s">
        <v>5</v>
      </c>
      <c r="D3" s="15">
        <v>47.210490122580865</v>
      </c>
      <c r="E3" s="16">
        <f>AVERAGE(D3,D5,D7)</f>
        <v>39.531726144429896</v>
      </c>
      <c r="F3">
        <f>E3/E2-1</f>
        <v>1.7335633387303413</v>
      </c>
    </row>
    <row r="4" spans="1:6" x14ac:dyDescent="0.2">
      <c r="A4" s="10" t="s">
        <v>62</v>
      </c>
      <c r="B4" t="s">
        <v>24</v>
      </c>
      <c r="C4" t="s">
        <v>5</v>
      </c>
      <c r="D4" s="15">
        <v>17.552459986549252</v>
      </c>
    </row>
    <row r="5" spans="1:6" x14ac:dyDescent="0.2">
      <c r="A5" s="10" t="s">
        <v>52</v>
      </c>
      <c r="B5" t="s">
        <v>25</v>
      </c>
      <c r="C5" t="s">
        <v>5</v>
      </c>
      <c r="D5" s="15">
        <v>44.569736229895597</v>
      </c>
    </row>
    <row r="6" spans="1:6" x14ac:dyDescent="0.2">
      <c r="A6" s="10" t="s">
        <v>60</v>
      </c>
      <c r="B6" t="s">
        <v>24</v>
      </c>
      <c r="C6" t="s">
        <v>5</v>
      </c>
      <c r="D6" s="15">
        <v>12.456512542939146</v>
      </c>
    </row>
    <row r="7" spans="1:6" x14ac:dyDescent="0.2">
      <c r="A7" s="10" t="s">
        <v>61</v>
      </c>
      <c r="B7" t="s">
        <v>25</v>
      </c>
      <c r="C7" t="s">
        <v>5</v>
      </c>
      <c r="D7" s="15">
        <v>26.814952080813224</v>
      </c>
    </row>
    <row r="8" spans="1:6" x14ac:dyDescent="0.2">
      <c r="A8" s="10" t="s">
        <v>62</v>
      </c>
      <c r="B8" t="s">
        <v>24</v>
      </c>
      <c r="C8" t="s">
        <v>5</v>
      </c>
      <c r="D8" s="15">
        <v>-26.394254601235765</v>
      </c>
    </row>
    <row r="9" spans="1:6" x14ac:dyDescent="0.2">
      <c r="A9" s="11" t="s">
        <v>52</v>
      </c>
      <c r="B9" t="s">
        <v>25</v>
      </c>
      <c r="C9" t="s">
        <v>5</v>
      </c>
      <c r="D9" s="15">
        <v>28.162109922725776</v>
      </c>
    </row>
    <row r="10" spans="1:6" x14ac:dyDescent="0.2">
      <c r="A10" s="10" t="s">
        <v>60</v>
      </c>
      <c r="B10" t="s">
        <v>24</v>
      </c>
      <c r="C10" t="s">
        <v>5</v>
      </c>
      <c r="D10" s="15">
        <v>13.297819034410828</v>
      </c>
    </row>
    <row r="11" spans="1:6" x14ac:dyDescent="0.2">
      <c r="A11" s="10" t="s">
        <v>61</v>
      </c>
      <c r="B11" t="s">
        <v>25</v>
      </c>
      <c r="C11" t="s">
        <v>5</v>
      </c>
      <c r="D11" s="15">
        <v>39.614118648905503</v>
      </c>
    </row>
    <row r="12" spans="1:6" x14ac:dyDescent="0.2">
      <c r="A12" s="10" t="s">
        <v>62</v>
      </c>
      <c r="B12" t="s">
        <v>24</v>
      </c>
      <c r="C12" t="s">
        <v>5</v>
      </c>
      <c r="D12" s="15">
        <v>13.148419868592388</v>
      </c>
    </row>
    <row r="13" spans="1:6" x14ac:dyDescent="0.2">
      <c r="A13" s="10" t="s">
        <v>52</v>
      </c>
      <c r="B13" t="s">
        <v>25</v>
      </c>
      <c r="C13" t="s">
        <v>5</v>
      </c>
      <c r="D13" s="15">
        <v>49.055318489396285</v>
      </c>
    </row>
    <row r="14" spans="1:6" x14ac:dyDescent="0.2">
      <c r="A14" s="10" t="s">
        <v>74</v>
      </c>
      <c r="B14" t="s">
        <v>24</v>
      </c>
      <c r="C14" t="s">
        <v>18</v>
      </c>
      <c r="D14" s="15">
        <v>15.74149929645008</v>
      </c>
      <c r="E14" s="16">
        <f>AVERAGE(D14,D16,D18)</f>
        <v>14.101065380513953</v>
      </c>
    </row>
    <row r="15" spans="1:6" x14ac:dyDescent="0.2">
      <c r="A15" s="10" t="s">
        <v>75</v>
      </c>
      <c r="B15" t="s">
        <v>25</v>
      </c>
      <c r="C15" t="s">
        <v>18</v>
      </c>
      <c r="D15" s="15">
        <v>34.194421956324703</v>
      </c>
      <c r="E15" s="16">
        <f>AVERAGE(D15,D17,D19)</f>
        <v>24.498891277139204</v>
      </c>
      <c r="F15">
        <f>E15/E14-1</f>
        <v>0.73737874522543856</v>
      </c>
    </row>
    <row r="16" spans="1:6" x14ac:dyDescent="0.2">
      <c r="A16" s="10" t="s">
        <v>76</v>
      </c>
      <c r="B16" t="s">
        <v>24</v>
      </c>
      <c r="C16" t="s">
        <v>18</v>
      </c>
      <c r="D16" s="15">
        <v>21.411572548693826</v>
      </c>
    </row>
    <row r="17" spans="1:6" x14ac:dyDescent="0.2">
      <c r="A17" s="10" t="s">
        <v>77</v>
      </c>
      <c r="B17" t="s">
        <v>25</v>
      </c>
      <c r="C17" t="s">
        <v>18</v>
      </c>
      <c r="D17" s="15">
        <v>13.959445585755081</v>
      </c>
    </row>
    <row r="18" spans="1:6" x14ac:dyDescent="0.2">
      <c r="A18" s="10" t="s">
        <v>74</v>
      </c>
      <c r="B18" t="s">
        <v>24</v>
      </c>
      <c r="C18" t="s">
        <v>18</v>
      </c>
      <c r="D18" s="15">
        <v>5.1501242963979514</v>
      </c>
    </row>
    <row r="19" spans="1:6" x14ac:dyDescent="0.2">
      <c r="A19" s="10" t="s">
        <v>75</v>
      </c>
      <c r="B19" t="s">
        <v>25</v>
      </c>
      <c r="C19" t="s">
        <v>18</v>
      </c>
      <c r="D19" s="15">
        <v>25.342806289337826</v>
      </c>
    </row>
    <row r="20" spans="1:6" x14ac:dyDescent="0.2">
      <c r="A20" s="10" t="s">
        <v>76</v>
      </c>
      <c r="B20" t="s">
        <v>24</v>
      </c>
      <c r="C20" t="s">
        <v>18</v>
      </c>
      <c r="D20" s="15">
        <v>3.6702078043975406</v>
      </c>
    </row>
    <row r="21" spans="1:6" x14ac:dyDescent="0.2">
      <c r="A21" s="11" t="s">
        <v>77</v>
      </c>
      <c r="B21" t="s">
        <v>25</v>
      </c>
      <c r="C21" t="s">
        <v>18</v>
      </c>
      <c r="D21" s="15">
        <v>12.236737566549127</v>
      </c>
    </row>
    <row r="22" spans="1:6" x14ac:dyDescent="0.2">
      <c r="A22" s="10" t="s">
        <v>74</v>
      </c>
      <c r="B22" t="s">
        <v>24</v>
      </c>
      <c r="C22" t="s">
        <v>18</v>
      </c>
      <c r="D22" s="15">
        <v>26.865308813515131</v>
      </c>
    </row>
    <row r="23" spans="1:6" x14ac:dyDescent="0.2">
      <c r="A23" s="10" t="s">
        <v>75</v>
      </c>
      <c r="B23" t="s">
        <v>25</v>
      </c>
      <c r="C23" t="s">
        <v>18</v>
      </c>
      <c r="D23" s="15">
        <v>32.391508436691964</v>
      </c>
    </row>
    <row r="24" spans="1:6" x14ac:dyDescent="0.2">
      <c r="A24" s="10" t="s">
        <v>76</v>
      </c>
      <c r="B24" t="s">
        <v>24</v>
      </c>
      <c r="C24" t="s">
        <v>18</v>
      </c>
      <c r="D24" s="15">
        <v>16.435893721709871</v>
      </c>
    </row>
    <row r="25" spans="1:6" x14ac:dyDescent="0.2">
      <c r="A25" s="10" t="s">
        <v>77</v>
      </c>
      <c r="B25" t="s">
        <v>25</v>
      </c>
      <c r="C25" t="s">
        <v>18</v>
      </c>
      <c r="D25" s="15">
        <v>20.181422177505514</v>
      </c>
    </row>
    <row r="26" spans="1:6" x14ac:dyDescent="0.2">
      <c r="A26" s="10" t="s">
        <v>78</v>
      </c>
      <c r="B26" t="s">
        <v>24</v>
      </c>
      <c r="C26" t="s">
        <v>4</v>
      </c>
      <c r="D26" s="15">
        <v>13.683218066140823</v>
      </c>
      <c r="E26" s="16">
        <f>AVERAGE(D26,D28,D30)</f>
        <v>3.5520574945275123</v>
      </c>
    </row>
    <row r="27" spans="1:6" x14ac:dyDescent="0.2">
      <c r="A27" s="10" t="s">
        <v>79</v>
      </c>
      <c r="B27" t="s">
        <v>25</v>
      </c>
      <c r="C27" t="s">
        <v>4</v>
      </c>
      <c r="D27" s="15">
        <v>14.147982175403639</v>
      </c>
      <c r="E27" s="16">
        <f>AVERAGE(D27,D29,D31)</f>
        <v>9.9989823118631023</v>
      </c>
      <c r="F27">
        <f>E27/E26-1</f>
        <v>1.8149832392262972</v>
      </c>
    </row>
    <row r="28" spans="1:6" x14ac:dyDescent="0.2">
      <c r="A28" s="10" t="s">
        <v>80</v>
      </c>
      <c r="B28" t="s">
        <v>24</v>
      </c>
      <c r="C28" t="s">
        <v>4</v>
      </c>
      <c r="D28" s="15">
        <v>10.513272547484886</v>
      </c>
    </row>
    <row r="29" spans="1:6" x14ac:dyDescent="0.2">
      <c r="A29" s="10" t="s">
        <v>81</v>
      </c>
      <c r="B29" t="s">
        <v>25</v>
      </c>
      <c r="C29" t="s">
        <v>4</v>
      </c>
      <c r="D29" s="15">
        <v>6.4462649160968999</v>
      </c>
    </row>
    <row r="30" spans="1:6" x14ac:dyDescent="0.2">
      <c r="A30" s="10" t="s">
        <v>78</v>
      </c>
      <c r="B30" t="s">
        <v>24</v>
      </c>
      <c r="C30" t="s">
        <v>4</v>
      </c>
      <c r="D30" s="15">
        <v>-13.540318130043172</v>
      </c>
    </row>
    <row r="31" spans="1:6" x14ac:dyDescent="0.2">
      <c r="A31" s="10" t="s">
        <v>79</v>
      </c>
      <c r="B31" t="s">
        <v>25</v>
      </c>
      <c r="C31" t="s">
        <v>4</v>
      </c>
      <c r="D31" s="15">
        <v>9.4026998440887688</v>
      </c>
    </row>
    <row r="32" spans="1:6" x14ac:dyDescent="0.2">
      <c r="A32" s="10" t="s">
        <v>80</v>
      </c>
      <c r="B32" t="s">
        <v>24</v>
      </c>
      <c r="C32" t="s">
        <v>4</v>
      </c>
      <c r="D32" s="15">
        <v>0.75644235363366841</v>
      </c>
    </row>
    <row r="33" spans="1:6" x14ac:dyDescent="0.2">
      <c r="A33" s="11" t="s">
        <v>81</v>
      </c>
      <c r="B33" t="s">
        <v>25</v>
      </c>
      <c r="C33" t="s">
        <v>4</v>
      </c>
      <c r="D33" s="15">
        <v>3.5504986390439308</v>
      </c>
    </row>
    <row r="34" spans="1:6" x14ac:dyDescent="0.2">
      <c r="A34" s="10" t="s">
        <v>78</v>
      </c>
      <c r="B34" t="s">
        <v>24</v>
      </c>
      <c r="C34" t="s">
        <v>4</v>
      </c>
      <c r="D34" s="15">
        <v>26.882490413841165</v>
      </c>
    </row>
    <row r="35" spans="1:6" x14ac:dyDescent="0.2">
      <c r="A35" s="10" t="s">
        <v>79</v>
      </c>
      <c r="B35" t="s">
        <v>25</v>
      </c>
      <c r="C35" t="s">
        <v>4</v>
      </c>
      <c r="D35" s="15">
        <v>22.026703924723499</v>
      </c>
    </row>
    <row r="36" spans="1:6" x14ac:dyDescent="0.2">
      <c r="A36" s="10" t="s">
        <v>80</v>
      </c>
      <c r="B36" t="s">
        <v>24</v>
      </c>
      <c r="C36" t="s">
        <v>4</v>
      </c>
      <c r="D36" s="15">
        <v>-1.7634913711479516</v>
      </c>
    </row>
    <row r="37" spans="1:6" x14ac:dyDescent="0.2">
      <c r="A37" s="10" t="s">
        <v>81</v>
      </c>
      <c r="B37" t="s">
        <v>25</v>
      </c>
      <c r="C37" t="s">
        <v>4</v>
      </c>
      <c r="D37" s="15">
        <v>51.627991688539687</v>
      </c>
    </row>
    <row r="38" spans="1:6" x14ac:dyDescent="0.2">
      <c r="A38" s="10" t="s">
        <v>82</v>
      </c>
      <c r="B38" t="s">
        <v>24</v>
      </c>
      <c r="C38" t="s">
        <v>3</v>
      </c>
      <c r="D38" s="15">
        <v>16.904829882556559</v>
      </c>
      <c r="E38" s="16">
        <f>AVERAGE(D38,D40,D42)</f>
        <v>23.364852220484295</v>
      </c>
    </row>
    <row r="39" spans="1:6" x14ac:dyDescent="0.2">
      <c r="A39" s="10" t="s">
        <v>83</v>
      </c>
      <c r="B39" t="s">
        <v>25</v>
      </c>
      <c r="C39" t="s">
        <v>3</v>
      </c>
      <c r="D39" s="15">
        <v>46.98759786579668</v>
      </c>
      <c r="E39" s="16">
        <f>AVERAGE(D39,D41,D43)</f>
        <v>35.297094895099072</v>
      </c>
      <c r="F39">
        <f>E39/E38-1</f>
        <v>0.51069198135794802</v>
      </c>
    </row>
    <row r="40" spans="1:6" x14ac:dyDescent="0.2">
      <c r="A40" s="10" t="s">
        <v>84</v>
      </c>
      <c r="B40" t="s">
        <v>24</v>
      </c>
      <c r="C40" t="s">
        <v>3</v>
      </c>
      <c r="D40" s="15">
        <v>31.066963996993767</v>
      </c>
    </row>
    <row r="41" spans="1:6" x14ac:dyDescent="0.2">
      <c r="A41" s="10" t="s">
        <v>85</v>
      </c>
      <c r="B41" t="s">
        <v>25</v>
      </c>
      <c r="C41" t="s">
        <v>3</v>
      </c>
      <c r="D41" s="15">
        <v>19.539275541998379</v>
      </c>
    </row>
    <row r="42" spans="1:6" x14ac:dyDescent="0.2">
      <c r="A42" s="10" t="s">
        <v>82</v>
      </c>
      <c r="B42" t="s">
        <v>24</v>
      </c>
      <c r="C42" t="s">
        <v>3</v>
      </c>
      <c r="D42" s="15">
        <v>22.122762781902562</v>
      </c>
    </row>
    <row r="43" spans="1:6" x14ac:dyDescent="0.2">
      <c r="A43" s="10" t="s">
        <v>83</v>
      </c>
      <c r="B43" t="s">
        <v>25</v>
      </c>
      <c r="C43" t="s">
        <v>3</v>
      </c>
      <c r="D43" s="15">
        <v>39.364411277502178</v>
      </c>
    </row>
    <row r="44" spans="1:6" x14ac:dyDescent="0.2">
      <c r="A44" s="10" t="s">
        <v>84</v>
      </c>
      <c r="B44" t="s">
        <v>24</v>
      </c>
      <c r="C44" t="s">
        <v>3</v>
      </c>
      <c r="D44" s="15">
        <v>5.2933587990921076</v>
      </c>
    </row>
    <row r="45" spans="1:6" x14ac:dyDescent="0.2">
      <c r="A45" s="11" t="s">
        <v>85</v>
      </c>
      <c r="B45" t="s">
        <v>25</v>
      </c>
      <c r="C45" t="s">
        <v>3</v>
      </c>
      <c r="D45" s="15">
        <v>21.125951982326917</v>
      </c>
    </row>
    <row r="46" spans="1:6" x14ac:dyDescent="0.2">
      <c r="A46" s="10" t="s">
        <v>82</v>
      </c>
      <c r="B46" t="s">
        <v>24</v>
      </c>
      <c r="C46" t="s">
        <v>3</v>
      </c>
      <c r="D46" s="15">
        <v>26.170987993195659</v>
      </c>
    </row>
    <row r="47" spans="1:6" x14ac:dyDescent="0.2">
      <c r="A47" s="10" t="s">
        <v>83</v>
      </c>
      <c r="B47" t="s">
        <v>25</v>
      </c>
      <c r="C47" t="s">
        <v>3</v>
      </c>
      <c r="D47" s="15">
        <v>35.834979968339397</v>
      </c>
    </row>
    <row r="48" spans="1:6" x14ac:dyDescent="0.2">
      <c r="A48" s="10" t="s">
        <v>84</v>
      </c>
      <c r="B48" t="s">
        <v>24</v>
      </c>
      <c r="C48" t="s">
        <v>3</v>
      </c>
      <c r="D48" s="15">
        <v>24.140113004489361</v>
      </c>
    </row>
    <row r="49" spans="1:4" x14ac:dyDescent="0.2">
      <c r="A49" s="10" t="s">
        <v>85</v>
      </c>
      <c r="B49" t="s">
        <v>25</v>
      </c>
      <c r="C49" t="s">
        <v>3</v>
      </c>
      <c r="D49" s="15">
        <v>7.0495418544137767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50FED-AE5D-8545-8B1A-16FE8EFE5833}">
  <dimension ref="A1:Q14"/>
  <sheetViews>
    <sheetView zoomScale="115" workbookViewId="0">
      <selection activeCell="E24" sqref="E24"/>
    </sheetView>
  </sheetViews>
  <sheetFormatPr baseColWidth="10" defaultRowHeight="16" x14ac:dyDescent="0.2"/>
  <cols>
    <col min="7" max="7" width="18" customWidth="1"/>
    <col min="13" max="13" width="18.5" customWidth="1"/>
    <col min="14" max="14" width="19.832031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  <c r="G1" t="s">
        <v>20</v>
      </c>
      <c r="H1" t="s">
        <v>5</v>
      </c>
      <c r="I1" t="s">
        <v>6</v>
      </c>
      <c r="J1" t="s">
        <v>15</v>
      </c>
      <c r="K1" t="s">
        <v>16</v>
      </c>
      <c r="L1" t="s">
        <v>17</v>
      </c>
      <c r="M1" t="s">
        <v>34</v>
      </c>
      <c r="N1" t="s">
        <v>33</v>
      </c>
      <c r="O1" t="s">
        <v>22</v>
      </c>
      <c r="P1" t="s">
        <v>36</v>
      </c>
      <c r="Q1" t="s">
        <v>35</v>
      </c>
    </row>
    <row r="2" spans="1:17" x14ac:dyDescent="0.2">
      <c r="A2" s="4" t="s">
        <v>7</v>
      </c>
      <c r="B2">
        <v>0</v>
      </c>
      <c r="C2">
        <f>80*(4.1224*I2-0.0766)</f>
        <v>35.518205159968055</v>
      </c>
      <c r="D2">
        <f>(1.4692*J2-0.07238)*80</f>
        <v>97.381023169493346</v>
      </c>
      <c r="E2" s="2">
        <f>D2/1.32</f>
        <v>73.773502401131324</v>
      </c>
      <c r="F2">
        <f>SUM(C2:E2)</f>
        <v>206.67273073059272</v>
      </c>
      <c r="H2">
        <f>80*(2192.6*L2^2-64.139*L2+1.0233)</f>
        <v>9551.3428047304205</v>
      </c>
      <c r="I2" s="1">
        <v>0.12628021650000018</v>
      </c>
      <c r="J2" s="1">
        <v>0.87778572666666677</v>
      </c>
      <c r="L2" s="1">
        <v>0.24743382694444438</v>
      </c>
      <c r="O2">
        <f t="shared" ref="O2:O9" si="0">80*(353.93*L2-13.33)</f>
        <v>5939.5403496357767</v>
      </c>
    </row>
    <row r="3" spans="1:17" x14ac:dyDescent="0.2">
      <c r="A3" s="4" t="s">
        <v>8</v>
      </c>
      <c r="B3">
        <v>5</v>
      </c>
      <c r="C3">
        <f t="shared" ref="C3:C9" si="1">80*(4.1224*I3-0.0766)</f>
        <v>4.817347035573702</v>
      </c>
      <c r="D3">
        <f t="shared" ref="D3:D9" si="2">(1.4692*J3-0.07238)*80</f>
        <v>-1.5841014818539723</v>
      </c>
      <c r="E3">
        <f>(11.007*K3-0.65)*50</f>
        <v>22.369895</v>
      </c>
      <c r="F3">
        <f t="shared" ref="F3:F11" si="3">SUM(C3:E3)</f>
        <v>25.603140553719729</v>
      </c>
      <c r="G3">
        <f t="shared" ref="G3:G9" si="4">(F2-F3)/(B3-B2)</f>
        <v>36.213918035374597</v>
      </c>
      <c r="H3">
        <f t="shared" ref="H3:H9" si="5">80*(2466.4*L3^2-125.62*L3+2.6153)</f>
        <v>2223.5273212439015</v>
      </c>
      <c r="I3" s="1">
        <v>3.3188637188208636E-2</v>
      </c>
      <c r="J3" s="1">
        <v>3.57873206349206E-2</v>
      </c>
      <c r="K3">
        <v>9.9699999999999997E-2</v>
      </c>
      <c r="L3" s="1">
        <v>0.12966440750566896</v>
      </c>
      <c r="M3" s="6">
        <v>2.7690000000000001</v>
      </c>
      <c r="N3">
        <v>0.16719999999999999</v>
      </c>
      <c r="O3">
        <f t="shared" si="0"/>
        <v>2604.9698998785134</v>
      </c>
      <c r="P3">
        <f>M3*40</f>
        <v>110.76</v>
      </c>
      <c r="Q3">
        <f t="shared" ref="Q3:Q14" si="6">N3*50*18</f>
        <v>150.47999999999999</v>
      </c>
    </row>
    <row r="4" spans="1:17" x14ac:dyDescent="0.2">
      <c r="A4" s="4" t="s">
        <v>9</v>
      </c>
      <c r="B4">
        <v>6</v>
      </c>
      <c r="C4">
        <f t="shared" si="1"/>
        <v>4.6493414185796</v>
      </c>
      <c r="D4">
        <f t="shared" si="2"/>
        <v>17.206373738700513</v>
      </c>
      <c r="E4">
        <f t="shared" ref="E4:E11" si="7">(11.007*K4-0.65)*50</f>
        <v>40.641514999999991</v>
      </c>
      <c r="F4">
        <f t="shared" si="3"/>
        <v>62.4972301572801</v>
      </c>
      <c r="G4" s="3" t="s">
        <v>21</v>
      </c>
      <c r="H4">
        <f t="shared" si="5"/>
        <v>2432.6955192370124</v>
      </c>
      <c r="I4" s="1">
        <v>3.2679208163265333E-2</v>
      </c>
      <c r="J4" s="1">
        <v>0.19565727724867713</v>
      </c>
      <c r="K4">
        <v>0.13289999999999999</v>
      </c>
      <c r="L4" s="1">
        <v>0.13463284183673468</v>
      </c>
      <c r="M4" s="6">
        <v>2.7149999999999999</v>
      </c>
      <c r="N4">
        <v>0.1343</v>
      </c>
      <c r="O4">
        <f t="shared" si="0"/>
        <v>2745.6481369020407</v>
      </c>
      <c r="P4">
        <f t="shared" ref="P4:P14" si="8">M4*40</f>
        <v>108.6</v>
      </c>
      <c r="Q4">
        <f t="shared" si="6"/>
        <v>120.87</v>
      </c>
    </row>
    <row r="5" spans="1:17" x14ac:dyDescent="0.2">
      <c r="A5" s="4" t="s">
        <v>10</v>
      </c>
      <c r="B5">
        <v>8</v>
      </c>
      <c r="C5">
        <f t="shared" si="1"/>
        <v>-0.81664442457833442</v>
      </c>
      <c r="D5">
        <f t="shared" si="2"/>
        <v>-0.83095531188486893</v>
      </c>
      <c r="E5">
        <f t="shared" si="7"/>
        <v>29.029129999999999</v>
      </c>
      <c r="F5">
        <f t="shared" si="3"/>
        <v>27.381530263536796</v>
      </c>
      <c r="G5">
        <f t="shared" si="4"/>
        <v>17.557849946871652</v>
      </c>
      <c r="H5">
        <f t="shared" si="5"/>
        <v>448.56056298763281</v>
      </c>
      <c r="I5" s="1">
        <v>1.610516803143092E-2</v>
      </c>
      <c r="J5" s="1">
        <v>4.2195112034739406E-2</v>
      </c>
      <c r="K5">
        <v>0.1118</v>
      </c>
      <c r="L5" s="1">
        <v>6.8611556906534393E-2</v>
      </c>
      <c r="M5" s="6">
        <v>3.4820000000000002</v>
      </c>
      <c r="N5">
        <v>0.28639999999999999</v>
      </c>
      <c r="O5">
        <f t="shared" si="0"/>
        <v>876.29506687437743</v>
      </c>
      <c r="P5">
        <f t="shared" si="8"/>
        <v>139.28</v>
      </c>
      <c r="Q5">
        <f t="shared" si="6"/>
        <v>257.76</v>
      </c>
    </row>
    <row r="6" spans="1:17" x14ac:dyDescent="0.2">
      <c r="A6" s="4" t="s">
        <v>11</v>
      </c>
      <c r="B6">
        <v>9</v>
      </c>
      <c r="C6">
        <f t="shared" si="1"/>
        <v>6.3896016810125396</v>
      </c>
      <c r="D6">
        <f t="shared" si="2"/>
        <v>-1.2520891965678933</v>
      </c>
      <c r="E6">
        <f t="shared" si="7"/>
        <v>24.075980000000001</v>
      </c>
      <c r="F6">
        <f t="shared" si="3"/>
        <v>29.213492484444647</v>
      </c>
      <c r="G6">
        <f t="shared" si="4"/>
        <v>-1.831962220907851</v>
      </c>
      <c r="H6">
        <f t="shared" si="5"/>
        <v>1198.711536024651</v>
      </c>
      <c r="I6" s="1">
        <v>3.795605011950727E-2</v>
      </c>
      <c r="J6" s="1">
        <v>3.8612091643684544E-2</v>
      </c>
      <c r="K6">
        <v>0.1028</v>
      </c>
      <c r="L6" s="1">
        <v>0.10072161743886746</v>
      </c>
      <c r="M6" s="6">
        <v>2.7320000000000002</v>
      </c>
      <c r="N6">
        <v>0.1724</v>
      </c>
      <c r="O6">
        <f t="shared" si="0"/>
        <v>1785.472164811069</v>
      </c>
      <c r="P6">
        <f t="shared" si="8"/>
        <v>109.28</v>
      </c>
      <c r="Q6">
        <f t="shared" si="6"/>
        <v>155.16</v>
      </c>
    </row>
    <row r="7" spans="1:17" x14ac:dyDescent="0.2">
      <c r="A7" s="4" t="s">
        <v>12</v>
      </c>
      <c r="B7">
        <v>10</v>
      </c>
      <c r="C7">
        <f t="shared" si="1"/>
        <v>9.0161230035997741E-2</v>
      </c>
      <c r="D7">
        <f t="shared" si="2"/>
        <v>0.56163747460585611</v>
      </c>
      <c r="E7">
        <f t="shared" si="7"/>
        <v>22.700104999999997</v>
      </c>
      <c r="F7">
        <f t="shared" si="3"/>
        <v>23.351903704641852</v>
      </c>
      <c r="G7">
        <f t="shared" si="4"/>
        <v>5.8615887798027941</v>
      </c>
      <c r="H7">
        <f t="shared" si="5"/>
        <v>856.45310545964412</v>
      </c>
      <c r="I7" s="1">
        <v>1.8854797054009793E-2</v>
      </c>
      <c r="J7" s="1">
        <v>5.4043335442807781E-2</v>
      </c>
      <c r="K7">
        <v>0.1003</v>
      </c>
      <c r="L7" s="1">
        <v>8.8146108510638324E-2</v>
      </c>
      <c r="M7" s="6">
        <v>3.4729999999999999</v>
      </c>
      <c r="N7">
        <v>0.32029999999999997</v>
      </c>
      <c r="O7">
        <f t="shared" si="0"/>
        <v>1429.4041748136181</v>
      </c>
      <c r="P7">
        <f t="shared" si="8"/>
        <v>138.91999999999999</v>
      </c>
      <c r="Q7">
        <f t="shared" si="6"/>
        <v>288.26999999999992</v>
      </c>
    </row>
    <row r="8" spans="1:17" x14ac:dyDescent="0.2">
      <c r="A8" s="4" t="s">
        <v>13</v>
      </c>
      <c r="B8">
        <v>11</v>
      </c>
      <c r="C8">
        <f t="shared" si="1"/>
        <v>7.258705748738528</v>
      </c>
      <c r="D8">
        <f t="shared" si="2"/>
        <v>82.582943901856964</v>
      </c>
      <c r="E8">
        <f t="shared" si="7"/>
        <v>96.391969999999986</v>
      </c>
      <c r="F8">
        <f t="shared" si="3"/>
        <v>186.23361965059547</v>
      </c>
      <c r="G8" s="3" t="s">
        <v>21</v>
      </c>
      <c r="H8">
        <f t="shared" si="5"/>
        <v>6369.2684970003438</v>
      </c>
      <c r="I8" s="1">
        <v>4.059135985329701E-2</v>
      </c>
      <c r="J8" s="1">
        <v>0.75188320090744076</v>
      </c>
      <c r="K8">
        <v>0.23419999999999999</v>
      </c>
      <c r="L8" s="1">
        <v>0.20398334580308516</v>
      </c>
      <c r="M8" s="6">
        <v>6.2249999999999996</v>
      </c>
      <c r="N8">
        <v>0.38229999999999997</v>
      </c>
      <c r="O8">
        <f t="shared" si="0"/>
        <v>4709.2660464068749</v>
      </c>
      <c r="P8">
        <f t="shared" si="8"/>
        <v>249</v>
      </c>
      <c r="Q8">
        <f t="shared" si="6"/>
        <v>344.07</v>
      </c>
    </row>
    <row r="9" spans="1:17" x14ac:dyDescent="0.2">
      <c r="A9" s="4" t="s">
        <v>14</v>
      </c>
      <c r="B9">
        <v>14</v>
      </c>
      <c r="C9">
        <f t="shared" si="1"/>
        <v>5.7315139624954181</v>
      </c>
      <c r="D9">
        <f t="shared" si="2"/>
        <v>48.876355593084099</v>
      </c>
      <c r="E9">
        <f t="shared" si="7"/>
        <v>78.945875000000015</v>
      </c>
      <c r="F9">
        <f t="shared" si="3"/>
        <v>133.55374455557953</v>
      </c>
      <c r="G9">
        <f t="shared" si="4"/>
        <v>17.559958365005315</v>
      </c>
      <c r="H9">
        <f t="shared" si="5"/>
        <v>5557.509887752426</v>
      </c>
      <c r="I9" s="1">
        <v>3.5960587165532874E-2</v>
      </c>
      <c r="J9" s="1">
        <v>0.4651064830612246</v>
      </c>
      <c r="K9">
        <v>0.20250000000000001</v>
      </c>
      <c r="L9" s="1">
        <v>0.1920623685941043</v>
      </c>
      <c r="M9" s="6">
        <v>5.883</v>
      </c>
      <c r="N9">
        <v>0.26329999999999998</v>
      </c>
      <c r="O9">
        <f t="shared" si="0"/>
        <v>4371.7307293209069</v>
      </c>
      <c r="P9">
        <f t="shared" si="8"/>
        <v>235.32</v>
      </c>
      <c r="Q9">
        <f t="shared" si="6"/>
        <v>236.96999999999997</v>
      </c>
    </row>
    <row r="10" spans="1:17" x14ac:dyDescent="0.2">
      <c r="A10" s="5"/>
      <c r="I10" s="7"/>
      <c r="J10" s="7"/>
      <c r="L10" s="1"/>
      <c r="M10" s="6">
        <v>5.5510000000000002</v>
      </c>
      <c r="N10">
        <v>0.26910000000000001</v>
      </c>
      <c r="P10">
        <f t="shared" si="8"/>
        <v>222.04000000000002</v>
      </c>
      <c r="Q10">
        <f t="shared" si="6"/>
        <v>242.19</v>
      </c>
    </row>
    <row r="11" spans="1:17" x14ac:dyDescent="0.2">
      <c r="A11" s="5" t="s">
        <v>19</v>
      </c>
      <c r="B11">
        <v>18</v>
      </c>
      <c r="C11" s="2">
        <v>8.23</v>
      </c>
      <c r="D11" s="2">
        <v>0.99</v>
      </c>
      <c r="E11">
        <f t="shared" si="7"/>
        <v>0.41092999999999824</v>
      </c>
      <c r="F11">
        <f t="shared" si="3"/>
        <v>9.6309299999999993</v>
      </c>
      <c r="G11">
        <f>(F9-F11)/(B11-B9)</f>
        <v>30.98070363889488</v>
      </c>
      <c r="K11">
        <v>5.9799999999999999E-2</v>
      </c>
      <c r="L11" s="1">
        <v>0.41306997946914592</v>
      </c>
      <c r="M11" s="6">
        <v>4.1219999999999999</v>
      </c>
      <c r="N11">
        <v>0.1885</v>
      </c>
      <c r="P11">
        <f t="shared" si="8"/>
        <v>164.88</v>
      </c>
      <c r="Q11">
        <f t="shared" si="6"/>
        <v>169.65</v>
      </c>
    </row>
    <row r="12" spans="1:17" x14ac:dyDescent="0.2">
      <c r="A12" s="5" t="s">
        <v>26</v>
      </c>
      <c r="G12" s="3" t="s">
        <v>21</v>
      </c>
      <c r="L12" s="1">
        <v>0.36479443224440544</v>
      </c>
      <c r="M12" s="6">
        <v>7.0449999999999999</v>
      </c>
      <c r="N12">
        <v>1.034</v>
      </c>
      <c r="P12">
        <f t="shared" si="8"/>
        <v>281.8</v>
      </c>
      <c r="Q12">
        <f>N12*50*18</f>
        <v>930.6</v>
      </c>
    </row>
    <row r="13" spans="1:17" x14ac:dyDescent="0.2">
      <c r="A13" s="5" t="s">
        <v>27</v>
      </c>
      <c r="L13" s="1">
        <v>0.60648149776164528</v>
      </c>
      <c r="M13" s="6">
        <v>4.1520000000000001</v>
      </c>
      <c r="N13">
        <v>1.419</v>
      </c>
      <c r="P13">
        <f t="shared" si="8"/>
        <v>166.08</v>
      </c>
      <c r="Q13">
        <f t="shared" si="6"/>
        <v>1277.1000000000001</v>
      </c>
    </row>
    <row r="14" spans="1:17" x14ac:dyDescent="0.2">
      <c r="A14" s="5" t="s">
        <v>28</v>
      </c>
      <c r="L14" s="1">
        <v>0.43307385287356326</v>
      </c>
      <c r="M14" s="6">
        <v>4.4089999999999998</v>
      </c>
      <c r="N14">
        <v>0.3261</v>
      </c>
      <c r="P14">
        <f t="shared" si="8"/>
        <v>176.35999999999999</v>
      </c>
      <c r="Q14">
        <f t="shared" si="6"/>
        <v>293.49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8820-104B-F34E-8BEB-3D5BBB82E977}">
  <dimension ref="A1:Q35"/>
  <sheetViews>
    <sheetView zoomScale="110" workbookViewId="0">
      <selection activeCell="I18" sqref="I18"/>
    </sheetView>
  </sheetViews>
  <sheetFormatPr baseColWidth="10" defaultRowHeight="16" x14ac:dyDescent="0.2"/>
  <cols>
    <col min="2" max="2" width="6.1640625" customWidth="1"/>
    <col min="3" max="6" width="8.33203125" customWidth="1"/>
    <col min="8" max="8" width="7.5" customWidth="1"/>
  </cols>
  <sheetData>
    <row r="1" spans="1:17" s="9" customForma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18</v>
      </c>
      <c r="G1" s="9" t="s">
        <v>20</v>
      </c>
      <c r="H1" s="9" t="s">
        <v>5</v>
      </c>
      <c r="I1" s="9" t="s">
        <v>6</v>
      </c>
      <c r="J1" s="9" t="s">
        <v>15</v>
      </c>
      <c r="K1" s="9" t="s">
        <v>16</v>
      </c>
      <c r="L1" s="9" t="s">
        <v>17</v>
      </c>
      <c r="M1" s="9" t="s">
        <v>34</v>
      </c>
      <c r="N1" s="9" t="s">
        <v>33</v>
      </c>
      <c r="O1" s="9" t="s">
        <v>22</v>
      </c>
      <c r="P1" s="9" t="s">
        <v>36</v>
      </c>
      <c r="Q1" s="9" t="s">
        <v>35</v>
      </c>
    </row>
    <row r="2" spans="1:17" x14ac:dyDescent="0.2">
      <c r="A2" s="8" t="s">
        <v>37</v>
      </c>
    </row>
    <row r="3" spans="1:17" x14ac:dyDescent="0.2">
      <c r="A3" s="8" t="s">
        <v>38</v>
      </c>
    </row>
    <row r="4" spans="1:17" x14ac:dyDescent="0.2">
      <c r="A4" s="8" t="s">
        <v>39</v>
      </c>
    </row>
    <row r="5" spans="1:17" x14ac:dyDescent="0.2">
      <c r="A5" s="8" t="s">
        <v>40</v>
      </c>
    </row>
    <row r="6" spans="1:17" x14ac:dyDescent="0.2">
      <c r="A6" s="8" t="s">
        <v>41</v>
      </c>
    </row>
    <row r="7" spans="1:17" x14ac:dyDescent="0.2">
      <c r="A7" s="8" t="s">
        <v>42</v>
      </c>
    </row>
    <row r="8" spans="1:17" x14ac:dyDescent="0.2">
      <c r="A8" s="8" t="s">
        <v>43</v>
      </c>
    </row>
    <row r="9" spans="1:17" x14ac:dyDescent="0.2">
      <c r="A9" s="8" t="s">
        <v>44</v>
      </c>
    </row>
    <row r="10" spans="1:17" x14ac:dyDescent="0.2">
      <c r="A10" s="8" t="s">
        <v>45</v>
      </c>
    </row>
    <row r="11" spans="1:17" x14ac:dyDescent="0.2">
      <c r="A11" s="8" t="s">
        <v>44</v>
      </c>
    </row>
    <row r="12" spans="1:17" x14ac:dyDescent="0.2">
      <c r="A12" s="8" t="s">
        <v>46</v>
      </c>
    </row>
    <row r="13" spans="1:17" x14ac:dyDescent="0.2">
      <c r="A13" s="8" t="s">
        <v>44</v>
      </c>
    </row>
    <row r="14" spans="1:17" x14ac:dyDescent="0.2">
      <c r="A14" s="8" t="s">
        <v>46</v>
      </c>
    </row>
    <row r="15" spans="1:17" x14ac:dyDescent="0.2">
      <c r="A15" s="8" t="s">
        <v>44</v>
      </c>
    </row>
    <row r="16" spans="1:17" x14ac:dyDescent="0.2">
      <c r="A16" s="8" t="s">
        <v>47</v>
      </c>
    </row>
    <row r="17" spans="1:12" x14ac:dyDescent="0.2">
      <c r="A17" s="8" t="s">
        <v>44</v>
      </c>
    </row>
    <row r="18" spans="1:12" x14ac:dyDescent="0.2">
      <c r="A18" s="8" t="s">
        <v>48</v>
      </c>
    </row>
    <row r="19" spans="1:12" x14ac:dyDescent="0.2">
      <c r="A19" s="8" t="s">
        <v>44</v>
      </c>
    </row>
    <row r="20" spans="1:12" x14ac:dyDescent="0.2">
      <c r="A20" s="8" t="s">
        <v>49</v>
      </c>
      <c r="H20">
        <f>(1/0.0239*L20-0.0549/0.0239)*80</f>
        <v>596.58816769606062</v>
      </c>
      <c r="L20" s="1">
        <v>0.23313071509919814</v>
      </c>
    </row>
    <row r="21" spans="1:12" x14ac:dyDescent="0.2">
      <c r="A21" s="8" t="s">
        <v>44</v>
      </c>
      <c r="H21">
        <f t="shared" ref="H21:H23" si="0">(1/0.0239*L21-0.0549/0.0239)*80</f>
        <v>673.88330500557402</v>
      </c>
      <c r="L21" s="1">
        <v>0.25622263737041528</v>
      </c>
    </row>
    <row r="22" spans="1:12" x14ac:dyDescent="0.2">
      <c r="A22" s="8" t="s">
        <v>50</v>
      </c>
      <c r="H22">
        <f t="shared" si="0"/>
        <v>645.46715281450997</v>
      </c>
      <c r="L22" s="1">
        <v>0.24773331190333492</v>
      </c>
    </row>
    <row r="23" spans="1:12" x14ac:dyDescent="0.2">
      <c r="A23" s="8" t="s">
        <v>44</v>
      </c>
      <c r="H23">
        <f t="shared" si="0"/>
        <v>692.76285270913809</v>
      </c>
      <c r="L23" s="1">
        <v>0.26186290224685504</v>
      </c>
    </row>
    <row r="24" spans="1:12" x14ac:dyDescent="0.2">
      <c r="A24" s="8" t="s">
        <v>51</v>
      </c>
    </row>
    <row r="25" spans="1:12" x14ac:dyDescent="0.2">
      <c r="A25" s="8" t="s">
        <v>52</v>
      </c>
    </row>
    <row r="26" spans="1:12" x14ac:dyDescent="0.2">
      <c r="A26" s="8" t="s">
        <v>53</v>
      </c>
    </row>
    <row r="27" spans="1:12" x14ac:dyDescent="0.2">
      <c r="A27" s="8" t="s">
        <v>52</v>
      </c>
    </row>
    <row r="28" spans="1:12" x14ac:dyDescent="0.2">
      <c r="A28" s="8" t="s">
        <v>54</v>
      </c>
    </row>
    <row r="29" spans="1:12" x14ac:dyDescent="0.2">
      <c r="A29" s="8" t="s">
        <v>52</v>
      </c>
    </row>
    <row r="30" spans="1:12" x14ac:dyDescent="0.2">
      <c r="A30" s="8" t="s">
        <v>55</v>
      </c>
    </row>
    <row r="31" spans="1:12" x14ac:dyDescent="0.2">
      <c r="A31" s="8" t="s">
        <v>52</v>
      </c>
    </row>
    <row r="32" spans="1:12" x14ac:dyDescent="0.2">
      <c r="A32" s="8" t="s">
        <v>56</v>
      </c>
    </row>
    <row r="33" spans="1:12" x14ac:dyDescent="0.2">
      <c r="A33" s="8" t="s">
        <v>52</v>
      </c>
    </row>
    <row r="34" spans="1:12" x14ac:dyDescent="0.2">
      <c r="A34" s="8" t="s">
        <v>57</v>
      </c>
      <c r="H34">
        <f t="shared" ref="H34:H35" si="1">(1/0.0239*L34-0.0549/0.0239)*80</f>
        <v>308.73305719772651</v>
      </c>
      <c r="L34" s="1">
        <v>0.1471340008378208</v>
      </c>
    </row>
    <row r="35" spans="1:12" x14ac:dyDescent="0.2">
      <c r="A35" s="8" t="s">
        <v>52</v>
      </c>
      <c r="H35">
        <f t="shared" si="1"/>
        <v>308.21969350103592</v>
      </c>
      <c r="L35" s="1">
        <v>0.14698063343343448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625EA-9F79-2347-B4C5-58CA6E0E7A34}">
  <dimension ref="A1:N7"/>
  <sheetViews>
    <sheetView workbookViewId="0">
      <selection activeCell="G20" sqref="G20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23</v>
      </c>
      <c r="D1" t="s">
        <v>2</v>
      </c>
      <c r="E1" t="s">
        <v>3</v>
      </c>
      <c r="F1" t="s">
        <v>4</v>
      </c>
      <c r="G1" t="s">
        <v>18</v>
      </c>
      <c r="H1" t="s">
        <v>20</v>
      </c>
      <c r="I1" t="s">
        <v>5</v>
      </c>
      <c r="J1" t="s">
        <v>6</v>
      </c>
      <c r="K1" t="s">
        <v>15</v>
      </c>
      <c r="L1" t="s">
        <v>16</v>
      </c>
      <c r="M1" t="s">
        <v>17</v>
      </c>
      <c r="N1" t="s">
        <v>22</v>
      </c>
    </row>
    <row r="2" spans="1:14" x14ac:dyDescent="0.2">
      <c r="A2" s="5" t="s">
        <v>29</v>
      </c>
      <c r="C2" t="s">
        <v>24</v>
      </c>
    </row>
    <row r="3" spans="1:14" x14ac:dyDescent="0.2">
      <c r="A3" s="5" t="s">
        <v>30</v>
      </c>
      <c r="C3" t="s">
        <v>25</v>
      </c>
    </row>
    <row r="4" spans="1:14" x14ac:dyDescent="0.2">
      <c r="A4" s="5" t="s">
        <v>31</v>
      </c>
      <c r="C4" t="s">
        <v>24</v>
      </c>
    </row>
    <row r="5" spans="1:14" x14ac:dyDescent="0.2">
      <c r="A5" s="5" t="s">
        <v>32</v>
      </c>
      <c r="C5" t="s">
        <v>25</v>
      </c>
    </row>
    <row r="6" spans="1:14" x14ac:dyDescent="0.2">
      <c r="A6" s="5" t="s">
        <v>31</v>
      </c>
      <c r="C6" t="s">
        <v>24</v>
      </c>
    </row>
    <row r="7" spans="1:14" x14ac:dyDescent="0.2">
      <c r="A7" s="5" t="s">
        <v>32</v>
      </c>
      <c r="C7" t="s">
        <v>25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SBR</vt:lpstr>
      <vt:lpstr>Efficiency.raw</vt:lpstr>
      <vt:lpstr>Efficiency</vt:lpstr>
      <vt:lpstr>SBR.raw</vt:lpstr>
      <vt:lpstr>Continuous.raw</vt:lpstr>
      <vt:lpstr>DI_Perf.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2025-06-04T12:02:11Z</dcterms:created>
  <dcterms:modified xsi:type="dcterms:W3CDTF">2025-11-20T13:29:15Z</dcterms:modified>
</cp:coreProperties>
</file>