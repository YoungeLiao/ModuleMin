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1/"/>
    </mc:Choice>
  </mc:AlternateContent>
  <xr:revisionPtr revIDLastSave="0" documentId="13_ncr:1_{5BE6A9FF-9AC7-3747-A80B-F9D0D79A9E91}" xr6:coauthVersionLast="47" xr6:coauthVersionMax="47" xr10:uidLastSave="{00000000-0000-0000-0000-000000000000}"/>
  <bookViews>
    <workbookView xWindow="2700" yWindow="620" windowWidth="22160" windowHeight="15460" activeTab="1" xr2:uid="{4E5F8DBA-8B37-F446-87D4-7F56DA87DADD}"/>
  </bookViews>
  <sheets>
    <sheet name="MultiSludge" sheetId="1" r:id="rId1"/>
    <sheet name="CN" sheetId="2" r:id="rId2"/>
  </sheets>
  <definedNames>
    <definedName name="_xlnm._FilterDatabase" localSheetId="0" hidden="1">MultiSludge!$A$1:$G$46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4" i="1"/>
  <c r="E19" i="1" l="1"/>
  <c r="E44" i="1"/>
  <c r="E39" i="1"/>
  <c r="E34" i="1"/>
  <c r="E29" i="1"/>
  <c r="E9" i="1"/>
  <c r="E2" i="1"/>
  <c r="E3" i="1"/>
  <c r="E5" i="1"/>
  <c r="E6" i="1"/>
  <c r="E27" i="1"/>
  <c r="E28" i="1"/>
  <c r="E30" i="1"/>
  <c r="E31" i="1"/>
  <c r="E32" i="1"/>
  <c r="E33" i="1"/>
  <c r="E35" i="1"/>
  <c r="E36" i="1"/>
  <c r="E37" i="1"/>
  <c r="E38" i="1"/>
  <c r="E40" i="1"/>
  <c r="E41" i="1"/>
  <c r="E42" i="1"/>
  <c r="E43" i="1"/>
  <c r="E45" i="1"/>
  <c r="E46" i="1"/>
  <c r="E8" i="1"/>
  <c r="E10" i="1"/>
  <c r="E11" i="1"/>
  <c r="E12" i="1"/>
  <c r="E13" i="1"/>
  <c r="E15" i="1"/>
  <c r="E16" i="1"/>
  <c r="E17" i="1"/>
  <c r="E18" i="1"/>
  <c r="E20" i="1"/>
  <c r="E21" i="1"/>
  <c r="E7" i="1"/>
</calcChain>
</file>

<file path=xl/sharedStrings.xml><?xml version="1.0" encoding="utf-8"?>
<sst xmlns="http://schemas.openxmlformats.org/spreadsheetml/2006/main" count="558" uniqueCount="66">
  <si>
    <t>Samples</t>
  </si>
  <si>
    <t>Time</t>
  </si>
  <si>
    <t>Group</t>
  </si>
  <si>
    <t>Batch</t>
  </si>
  <si>
    <t>Raw</t>
  </si>
  <si>
    <t>SalineAnammox</t>
  </si>
  <si>
    <t>M1-0618</t>
  </si>
  <si>
    <t>M2-0618</t>
  </si>
  <si>
    <t>M3-0618</t>
  </si>
  <si>
    <t>5%-0618</t>
  </si>
  <si>
    <t>FAB-0618</t>
  </si>
  <si>
    <t>M1-0622</t>
  </si>
  <si>
    <t>M2</t>
  </si>
  <si>
    <t>M3</t>
  </si>
  <si>
    <t>5%</t>
  </si>
  <si>
    <t>FAB</t>
  </si>
  <si>
    <t>M1-0625</t>
  </si>
  <si>
    <t>Raw.CO2.IC</t>
  </si>
  <si>
    <t>HCO3</t>
  </si>
  <si>
    <t>M1-0905-19:00</t>
  </si>
  <si>
    <t>M1-0912-19:00</t>
  </si>
  <si>
    <t>M1-0914-13:00</t>
  </si>
  <si>
    <t>M1-0919-9:00</t>
  </si>
  <si>
    <t>M1-0921-9:00</t>
  </si>
  <si>
    <t>Round1</t>
  </si>
  <si>
    <t>Round2</t>
  </si>
  <si>
    <t>PD</t>
  </si>
  <si>
    <t>Default</t>
  </si>
  <si>
    <t>MAB_25°C</t>
  </si>
  <si>
    <t>MAB_37°C</t>
  </si>
  <si>
    <t>NA</t>
  </si>
  <si>
    <t>Substrate</t>
  </si>
  <si>
    <t>Light</t>
  </si>
  <si>
    <t>NO2</t>
  </si>
  <si>
    <t>NH4</t>
  </si>
  <si>
    <t>AN-D1-5.12</t>
  </si>
  <si>
    <t>NH4+NO2</t>
  </si>
  <si>
    <t>Dark</t>
  </si>
  <si>
    <t>AN-D2</t>
  </si>
  <si>
    <t>AN-D3</t>
  </si>
  <si>
    <t>AN-I1</t>
  </si>
  <si>
    <t>IR</t>
  </si>
  <si>
    <t>AN-I2</t>
  </si>
  <si>
    <t>AN-I3</t>
  </si>
  <si>
    <t>NH4-D1</t>
  </si>
  <si>
    <t>NH4-D2</t>
  </si>
  <si>
    <t>NH4-D3</t>
  </si>
  <si>
    <t>NH4-I1</t>
  </si>
  <si>
    <t>NH4-I2</t>
  </si>
  <si>
    <t>NH4-I3</t>
  </si>
  <si>
    <t>NO2-D1</t>
  </si>
  <si>
    <t>NO2-D2</t>
  </si>
  <si>
    <t>NO2-D3</t>
  </si>
  <si>
    <t>NO2-I1</t>
  </si>
  <si>
    <t>NO2-I2</t>
  </si>
  <si>
    <t>NO2-I3</t>
  </si>
  <si>
    <t>AN-D1-5.16</t>
  </si>
  <si>
    <t>AN-D1-5.21</t>
  </si>
  <si>
    <t>AN-D1-5.25</t>
  </si>
  <si>
    <t>AN-D1-5.27</t>
  </si>
  <si>
    <t>NH4+NO2Dark</t>
  </si>
  <si>
    <t>NH4+NO2IR</t>
  </si>
  <si>
    <t>NH4Dark</t>
  </si>
  <si>
    <t>NH4IR</t>
  </si>
  <si>
    <t>NO2Dark</t>
  </si>
  <si>
    <t>NO2IR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</si>
</sst>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Border="1"/>
    <xf numFmtId="0" fontId="8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B824-7051-C54A-AB4F-704CD4FF9AC5}">
  <dimension ref="A1:G46"/>
  <sheetViews>
    <sheetView zoomScale="107" workbookViewId="0"/>
  </sheetViews>
  <sheetFormatPr baseColWidth="10" defaultRowHeight="16" x14ac:dyDescent="0.2"/>
  <cols>
    <col min="5" max="6" width="14.33203125" customWidth="1"/>
  </cols>
  <sheetData>
    <row r="1" spans="1:7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17</v>
      </c>
      <c r="G1" s="2" t="s">
        <v>4</v>
      </c>
    </row>
    <row r="2" spans="1:7" x14ac:dyDescent="0.2">
      <c r="A2" s="4" t="s">
        <v>6</v>
      </c>
      <c r="B2" s="2">
        <v>0</v>
      </c>
      <c r="C2" t="s">
        <v>28</v>
      </c>
      <c r="D2" t="s">
        <v>24</v>
      </c>
      <c r="E2">
        <f t="shared" ref="E2:E6" si="0">(F2-0.0549)/0.0239*80</f>
        <v>485.69037656903765</v>
      </c>
      <c r="F2" s="5">
        <v>0.2</v>
      </c>
      <c r="G2" s="2" t="s">
        <v>27</v>
      </c>
    </row>
    <row r="3" spans="1:7" x14ac:dyDescent="0.2">
      <c r="A3" s="4" t="s">
        <v>7</v>
      </c>
      <c r="B3" s="2">
        <v>0</v>
      </c>
      <c r="C3" t="s">
        <v>28</v>
      </c>
      <c r="D3" t="s">
        <v>24</v>
      </c>
      <c r="E3">
        <f t="shared" si="0"/>
        <v>485.69037656903765</v>
      </c>
      <c r="F3" s="5">
        <v>0.2</v>
      </c>
      <c r="G3" s="2" t="s">
        <v>27</v>
      </c>
    </row>
    <row r="4" spans="1:7" x14ac:dyDescent="0.2">
      <c r="A4" s="4" t="s">
        <v>8</v>
      </c>
      <c r="B4" s="2">
        <v>0</v>
      </c>
      <c r="C4" t="s">
        <v>29</v>
      </c>
      <c r="D4" t="s">
        <v>24</v>
      </c>
      <c r="E4">
        <f>(F4-0.0549)/0.0239*80</f>
        <v>485.69037656903765</v>
      </c>
      <c r="F4" s="5">
        <v>0.2</v>
      </c>
      <c r="G4" s="2" t="s">
        <v>27</v>
      </c>
    </row>
    <row r="5" spans="1:7" x14ac:dyDescent="0.2">
      <c r="A5" s="4" t="s">
        <v>9</v>
      </c>
      <c r="B5" s="2">
        <v>0</v>
      </c>
      <c r="C5" t="s">
        <v>26</v>
      </c>
      <c r="D5" t="s">
        <v>24</v>
      </c>
      <c r="E5">
        <f t="shared" si="0"/>
        <v>485.69037656903765</v>
      </c>
      <c r="F5" s="5">
        <v>0.2</v>
      </c>
      <c r="G5" s="2" t="s">
        <v>27</v>
      </c>
    </row>
    <row r="6" spans="1:7" x14ac:dyDescent="0.2">
      <c r="A6" s="4" t="s">
        <v>10</v>
      </c>
      <c r="B6" s="2">
        <v>0</v>
      </c>
      <c r="C6" t="s">
        <v>15</v>
      </c>
      <c r="D6" t="s">
        <v>24</v>
      </c>
      <c r="E6">
        <f t="shared" si="0"/>
        <v>485.69037656903765</v>
      </c>
      <c r="F6" s="5">
        <v>0.2</v>
      </c>
      <c r="G6" s="2" t="s">
        <v>27</v>
      </c>
    </row>
    <row r="7" spans="1:7" x14ac:dyDescent="0.2">
      <c r="A7" s="4" t="s">
        <v>6</v>
      </c>
      <c r="B7">
        <v>1</v>
      </c>
      <c r="C7" t="s">
        <v>28</v>
      </c>
      <c r="D7" t="s">
        <v>24</v>
      </c>
      <c r="E7">
        <f>(F7-0.0549)/0.0239*80</f>
        <v>405.39810900348164</v>
      </c>
      <c r="F7" s="5">
        <v>0.17601268506479015</v>
      </c>
      <c r="G7" t="s">
        <v>5</v>
      </c>
    </row>
    <row r="8" spans="1:7" x14ac:dyDescent="0.2">
      <c r="A8" s="4" t="s">
        <v>7</v>
      </c>
      <c r="B8">
        <v>1</v>
      </c>
      <c r="C8" t="s">
        <v>28</v>
      </c>
      <c r="D8" t="s">
        <v>24</v>
      </c>
      <c r="E8">
        <f t="shared" ref="E8:E46" si="1">(F8-0.0549)/0.0239*80</f>
        <v>394.93314486034166</v>
      </c>
      <c r="F8" s="5">
        <v>0.17288627702702708</v>
      </c>
      <c r="G8" t="s">
        <v>5</v>
      </c>
    </row>
    <row r="9" spans="1:7" x14ac:dyDescent="0.2">
      <c r="A9" s="4" t="s">
        <v>8</v>
      </c>
      <c r="B9" s="2">
        <v>1</v>
      </c>
      <c r="C9" t="s">
        <v>29</v>
      </c>
      <c r="D9" t="s">
        <v>24</v>
      </c>
      <c r="E9">
        <f t="shared" si="1"/>
        <v>533.88391884979546</v>
      </c>
      <c r="F9" s="5">
        <v>0.21439782075637639</v>
      </c>
      <c r="G9" t="s">
        <v>5</v>
      </c>
    </row>
    <row r="10" spans="1:7" x14ac:dyDescent="0.2">
      <c r="A10" s="4" t="s">
        <v>9</v>
      </c>
      <c r="B10">
        <v>1</v>
      </c>
      <c r="C10" t="s">
        <v>26</v>
      </c>
      <c r="D10" t="s">
        <v>24</v>
      </c>
      <c r="E10">
        <f t="shared" si="1"/>
        <v>684.17705604200273</v>
      </c>
      <c r="F10" s="5">
        <v>0.25929789549254834</v>
      </c>
      <c r="G10" t="s">
        <v>5</v>
      </c>
    </row>
    <row r="11" spans="1:7" x14ac:dyDescent="0.2">
      <c r="A11" s="4" t="s">
        <v>10</v>
      </c>
      <c r="B11">
        <v>1</v>
      </c>
      <c r="C11" t="s">
        <v>15</v>
      </c>
      <c r="D11" t="s">
        <v>24</v>
      </c>
      <c r="E11">
        <f t="shared" si="1"/>
        <v>733.52227839911723</v>
      </c>
      <c r="F11" s="5">
        <v>0.27403978067173629</v>
      </c>
      <c r="G11" t="s">
        <v>5</v>
      </c>
    </row>
    <row r="12" spans="1:7" x14ac:dyDescent="0.2">
      <c r="A12" s="4" t="s">
        <v>11</v>
      </c>
      <c r="B12">
        <v>4</v>
      </c>
      <c r="C12" t="s">
        <v>28</v>
      </c>
      <c r="D12" t="s">
        <v>24</v>
      </c>
      <c r="E12">
        <f t="shared" si="1"/>
        <v>341.90829169366407</v>
      </c>
      <c r="F12" s="5">
        <v>0.15704510214348216</v>
      </c>
      <c r="G12" t="s">
        <v>5</v>
      </c>
    </row>
    <row r="13" spans="1:7" x14ac:dyDescent="0.2">
      <c r="A13" s="4" t="s">
        <v>12</v>
      </c>
      <c r="B13">
        <v>4</v>
      </c>
      <c r="C13" t="s">
        <v>28</v>
      </c>
      <c r="D13" t="s">
        <v>24</v>
      </c>
      <c r="E13">
        <f t="shared" si="1"/>
        <v>466.68863601333732</v>
      </c>
      <c r="F13" s="5">
        <v>0.19432323000898455</v>
      </c>
      <c r="G13" t="s">
        <v>5</v>
      </c>
    </row>
    <row r="14" spans="1:7" x14ac:dyDescent="0.2">
      <c r="A14" s="4" t="s">
        <v>13</v>
      </c>
      <c r="B14">
        <v>4</v>
      </c>
      <c r="C14" t="s">
        <v>29</v>
      </c>
      <c r="D14" t="s">
        <v>24</v>
      </c>
      <c r="E14">
        <f>(F14-0.0549)/0.0239*80</f>
        <v>437.71166113250388</v>
      </c>
      <c r="F14" s="5">
        <v>0.18566635876333554</v>
      </c>
      <c r="G14" t="s">
        <v>5</v>
      </c>
    </row>
    <row r="15" spans="1:7" x14ac:dyDescent="0.2">
      <c r="A15" s="4" t="s">
        <v>14</v>
      </c>
      <c r="B15">
        <v>4</v>
      </c>
      <c r="C15" t="s">
        <v>26</v>
      </c>
      <c r="D15" t="s">
        <v>24</v>
      </c>
      <c r="E15">
        <f t="shared" si="1"/>
        <v>682.90481694938921</v>
      </c>
      <c r="F15" s="5">
        <v>0.25891781406363001</v>
      </c>
      <c r="G15" t="s">
        <v>5</v>
      </c>
    </row>
    <row r="16" spans="1:7" x14ac:dyDescent="0.2">
      <c r="A16" s="4" t="s">
        <v>15</v>
      </c>
      <c r="B16">
        <v>4</v>
      </c>
      <c r="C16" t="s">
        <v>15</v>
      </c>
      <c r="D16" t="s">
        <v>24</v>
      </c>
      <c r="E16">
        <f t="shared" si="1"/>
        <v>739.05328387867723</v>
      </c>
      <c r="F16" s="5">
        <v>0.27569216855875484</v>
      </c>
      <c r="G16" t="s">
        <v>5</v>
      </c>
    </row>
    <row r="17" spans="1:7" x14ac:dyDescent="0.2">
      <c r="A17" s="4" t="s">
        <v>16</v>
      </c>
      <c r="B17">
        <v>7</v>
      </c>
      <c r="C17" t="s">
        <v>28</v>
      </c>
      <c r="D17" t="s">
        <v>24</v>
      </c>
      <c r="E17">
        <f t="shared" si="1"/>
        <v>424.4640949484052</v>
      </c>
      <c r="F17" s="5">
        <v>0.18170864836583608</v>
      </c>
      <c r="G17" t="s">
        <v>5</v>
      </c>
    </row>
    <row r="18" spans="1:7" x14ac:dyDescent="0.2">
      <c r="A18" s="4" t="s">
        <v>12</v>
      </c>
      <c r="B18">
        <v>7</v>
      </c>
      <c r="C18" t="s">
        <v>28</v>
      </c>
      <c r="D18" t="s">
        <v>24</v>
      </c>
      <c r="E18">
        <f t="shared" si="1"/>
        <v>325.59644478587956</v>
      </c>
      <c r="F18" s="5">
        <v>0.15217193787978153</v>
      </c>
      <c r="G18" t="s">
        <v>5</v>
      </c>
    </row>
    <row r="19" spans="1:7" s="1" customFormat="1" x14ac:dyDescent="0.2">
      <c r="A19" s="4" t="s">
        <v>13</v>
      </c>
      <c r="B19">
        <v>7</v>
      </c>
      <c r="C19" t="s">
        <v>29</v>
      </c>
      <c r="D19" t="s">
        <v>24</v>
      </c>
      <c r="E19">
        <f t="shared" si="1"/>
        <v>424.4640949484052</v>
      </c>
      <c r="F19" s="5">
        <v>0.18170864836583608</v>
      </c>
      <c r="G19" t="s">
        <v>5</v>
      </c>
    </row>
    <row r="20" spans="1:7" x14ac:dyDescent="0.2">
      <c r="A20" s="4" t="s">
        <v>14</v>
      </c>
      <c r="B20">
        <v>7</v>
      </c>
      <c r="C20" t="s">
        <v>26</v>
      </c>
      <c r="D20" t="s">
        <v>24</v>
      </c>
      <c r="E20">
        <f t="shared" si="1"/>
        <v>593.80750011104305</v>
      </c>
      <c r="F20" s="5">
        <v>0.23229999065817414</v>
      </c>
      <c r="G20" t="s">
        <v>5</v>
      </c>
    </row>
    <row r="21" spans="1:7" x14ac:dyDescent="0.2">
      <c r="A21" s="4" t="s">
        <v>15</v>
      </c>
      <c r="B21">
        <v>7</v>
      </c>
      <c r="C21" t="s">
        <v>15</v>
      </c>
      <c r="D21" t="s">
        <v>24</v>
      </c>
      <c r="E21">
        <f t="shared" si="1"/>
        <v>1034.9908530154139</v>
      </c>
      <c r="F21" s="5">
        <v>0.36410351733835494</v>
      </c>
      <c r="G21" t="s">
        <v>5</v>
      </c>
    </row>
    <row r="22" spans="1:7" x14ac:dyDescent="0.2">
      <c r="A22" s="4" t="s">
        <v>19</v>
      </c>
      <c r="B22">
        <v>8</v>
      </c>
      <c r="C22" t="s">
        <v>28</v>
      </c>
      <c r="D22" t="s">
        <v>25</v>
      </c>
      <c r="E22" s="6" t="s">
        <v>30</v>
      </c>
      <c r="F22" s="5">
        <v>0.68081104815484683</v>
      </c>
      <c r="G22" t="s">
        <v>5</v>
      </c>
    </row>
    <row r="23" spans="1:7" x14ac:dyDescent="0.2">
      <c r="A23" s="4" t="s">
        <v>12</v>
      </c>
      <c r="B23">
        <v>8</v>
      </c>
      <c r="C23" t="s">
        <v>28</v>
      </c>
      <c r="D23" t="s">
        <v>25</v>
      </c>
      <c r="E23" s="6" t="s">
        <v>30</v>
      </c>
      <c r="F23" s="5">
        <v>0.67057455949126876</v>
      </c>
      <c r="G23" t="s">
        <v>5</v>
      </c>
    </row>
    <row r="24" spans="1:7" x14ac:dyDescent="0.2">
      <c r="A24" s="4" t="s">
        <v>13</v>
      </c>
      <c r="B24">
        <v>8</v>
      </c>
      <c r="C24" t="s">
        <v>29</v>
      </c>
      <c r="D24" t="s">
        <v>25</v>
      </c>
      <c r="E24" s="6" t="s">
        <v>30</v>
      </c>
      <c r="F24" s="5">
        <v>0.69230000000000003</v>
      </c>
      <c r="G24" t="s">
        <v>5</v>
      </c>
    </row>
    <row r="25" spans="1:7" x14ac:dyDescent="0.2">
      <c r="A25" s="4" t="s">
        <v>15</v>
      </c>
      <c r="B25">
        <v>8</v>
      </c>
      <c r="C25" t="s">
        <v>15</v>
      </c>
      <c r="D25" t="s">
        <v>25</v>
      </c>
      <c r="E25" s="6" t="s">
        <v>30</v>
      </c>
      <c r="F25" s="5">
        <v>0.70279957869402865</v>
      </c>
      <c r="G25" t="s">
        <v>5</v>
      </c>
    </row>
    <row r="26" spans="1:7" x14ac:dyDescent="0.2">
      <c r="A26" s="4" t="s">
        <v>14</v>
      </c>
      <c r="B26">
        <v>8</v>
      </c>
      <c r="C26" t="s">
        <v>26</v>
      </c>
      <c r="D26" t="s">
        <v>25</v>
      </c>
      <c r="E26" s="6" t="s">
        <v>30</v>
      </c>
      <c r="F26" s="5">
        <v>0.70666618876378096</v>
      </c>
      <c r="G26" t="s">
        <v>5</v>
      </c>
    </row>
    <row r="27" spans="1:7" x14ac:dyDescent="0.2">
      <c r="A27" s="4" t="s">
        <v>20</v>
      </c>
      <c r="B27">
        <v>9</v>
      </c>
      <c r="C27" t="s">
        <v>28</v>
      </c>
      <c r="D27" t="s">
        <v>25</v>
      </c>
      <c r="E27">
        <f t="shared" si="1"/>
        <v>1150.8131571771266</v>
      </c>
      <c r="F27" s="5">
        <v>0.39870543070666664</v>
      </c>
      <c r="G27" t="s">
        <v>5</v>
      </c>
    </row>
    <row r="28" spans="1:7" x14ac:dyDescent="0.2">
      <c r="A28" s="4" t="s">
        <v>12</v>
      </c>
      <c r="B28">
        <v>9</v>
      </c>
      <c r="C28" t="s">
        <v>28</v>
      </c>
      <c r="D28" t="s">
        <v>25</v>
      </c>
      <c r="E28">
        <f t="shared" si="1"/>
        <v>1154.4271091906828</v>
      </c>
      <c r="F28" s="5">
        <v>0.3997850988707165</v>
      </c>
      <c r="G28" t="s">
        <v>5</v>
      </c>
    </row>
    <row r="29" spans="1:7" x14ac:dyDescent="0.2">
      <c r="A29" s="4" t="s">
        <v>13</v>
      </c>
      <c r="B29">
        <v>9</v>
      </c>
      <c r="C29" t="s">
        <v>29</v>
      </c>
      <c r="D29" t="s">
        <v>25</v>
      </c>
      <c r="E29">
        <f t="shared" si="1"/>
        <v>1072.0798335498607</v>
      </c>
      <c r="F29" s="5">
        <v>0.37518385027302092</v>
      </c>
      <c r="G29" t="s">
        <v>5</v>
      </c>
    </row>
    <row r="30" spans="1:7" x14ac:dyDescent="0.2">
      <c r="A30" s="4" t="s">
        <v>15</v>
      </c>
      <c r="B30">
        <v>9</v>
      </c>
      <c r="C30" t="s">
        <v>15</v>
      </c>
      <c r="D30" t="s">
        <v>25</v>
      </c>
      <c r="E30">
        <f t="shared" si="1"/>
        <v>1125.8939499120747</v>
      </c>
      <c r="F30" s="5">
        <v>0.39126081753623232</v>
      </c>
      <c r="G30" t="s">
        <v>5</v>
      </c>
    </row>
    <row r="31" spans="1:7" x14ac:dyDescent="0.2">
      <c r="A31" s="4" t="s">
        <v>14</v>
      </c>
      <c r="B31">
        <v>9</v>
      </c>
      <c r="C31" t="s">
        <v>26</v>
      </c>
      <c r="D31" t="s">
        <v>25</v>
      </c>
      <c r="E31">
        <f t="shared" si="1"/>
        <v>1218.815012236043</v>
      </c>
      <c r="F31" s="5">
        <v>0.41902098490551787</v>
      </c>
      <c r="G31" t="s">
        <v>5</v>
      </c>
    </row>
    <row r="32" spans="1:7" x14ac:dyDescent="0.2">
      <c r="A32" s="4" t="s">
        <v>21</v>
      </c>
      <c r="B32">
        <v>11</v>
      </c>
      <c r="C32" t="s">
        <v>28</v>
      </c>
      <c r="D32" t="s">
        <v>25</v>
      </c>
      <c r="E32">
        <f t="shared" si="1"/>
        <v>915.17261632229111</v>
      </c>
      <c r="F32" s="5">
        <v>0.32830781912628448</v>
      </c>
      <c r="G32" t="s">
        <v>5</v>
      </c>
    </row>
    <row r="33" spans="1:7" x14ac:dyDescent="0.2">
      <c r="A33" s="4" t="s">
        <v>12</v>
      </c>
      <c r="B33">
        <v>11</v>
      </c>
      <c r="C33" t="s">
        <v>28</v>
      </c>
      <c r="D33" t="s">
        <v>25</v>
      </c>
      <c r="E33">
        <f t="shared" si="1"/>
        <v>1005.556924370063</v>
      </c>
      <c r="F33" s="5">
        <v>0.35531013115555632</v>
      </c>
      <c r="G33" t="s">
        <v>5</v>
      </c>
    </row>
    <row r="34" spans="1:7" x14ac:dyDescent="0.2">
      <c r="A34" s="4" t="s">
        <v>13</v>
      </c>
      <c r="B34">
        <v>11</v>
      </c>
      <c r="C34" t="s">
        <v>29</v>
      </c>
      <c r="D34" t="s">
        <v>25</v>
      </c>
      <c r="E34">
        <f t="shared" si="1"/>
        <v>1138.1040709041908</v>
      </c>
      <c r="F34" s="5">
        <v>0.394908591182627</v>
      </c>
      <c r="G34" t="s">
        <v>5</v>
      </c>
    </row>
    <row r="35" spans="1:7" x14ac:dyDescent="0.2">
      <c r="A35" s="4" t="s">
        <v>15</v>
      </c>
      <c r="B35">
        <v>11</v>
      </c>
      <c r="C35" t="s">
        <v>15</v>
      </c>
      <c r="D35" t="s">
        <v>25</v>
      </c>
      <c r="E35">
        <f t="shared" si="1"/>
        <v>941.96467815652318</v>
      </c>
      <c r="F35" s="5">
        <v>0.33631194759926131</v>
      </c>
      <c r="G35" t="s">
        <v>5</v>
      </c>
    </row>
    <row r="36" spans="1:7" x14ac:dyDescent="0.2">
      <c r="A36" s="4" t="s">
        <v>14</v>
      </c>
      <c r="B36">
        <v>11</v>
      </c>
      <c r="C36" t="s">
        <v>26</v>
      </c>
      <c r="D36" t="s">
        <v>25</v>
      </c>
      <c r="E36">
        <f t="shared" si="1"/>
        <v>1055.5072129020234</v>
      </c>
      <c r="F36" s="5">
        <v>0.3702327798544795</v>
      </c>
      <c r="G36" t="s">
        <v>5</v>
      </c>
    </row>
    <row r="37" spans="1:7" x14ac:dyDescent="0.2">
      <c r="A37" s="4" t="s">
        <v>22</v>
      </c>
      <c r="B37">
        <v>16</v>
      </c>
      <c r="C37" t="s">
        <v>28</v>
      </c>
      <c r="D37" t="s">
        <v>25</v>
      </c>
      <c r="E37">
        <f t="shared" si="1"/>
        <v>1036.6853592644266</v>
      </c>
      <c r="F37" s="5">
        <v>0.36460975108024746</v>
      </c>
      <c r="G37" t="s">
        <v>5</v>
      </c>
    </row>
    <row r="38" spans="1:7" x14ac:dyDescent="0.2">
      <c r="A38" s="4" t="s">
        <v>12</v>
      </c>
      <c r="B38">
        <v>16</v>
      </c>
      <c r="C38" t="s">
        <v>28</v>
      </c>
      <c r="D38" t="s">
        <v>25</v>
      </c>
      <c r="E38">
        <f t="shared" si="1"/>
        <v>1033.0939167309498</v>
      </c>
      <c r="F38" s="5">
        <v>0.36353680762337126</v>
      </c>
      <c r="G38" t="s">
        <v>5</v>
      </c>
    </row>
    <row r="39" spans="1:7" x14ac:dyDescent="0.2">
      <c r="A39" s="4" t="s">
        <v>13</v>
      </c>
      <c r="B39">
        <v>16</v>
      </c>
      <c r="C39" t="s">
        <v>29</v>
      </c>
      <c r="D39" t="s">
        <v>25</v>
      </c>
      <c r="E39">
        <f t="shared" si="1"/>
        <v>1336.6302170398426</v>
      </c>
      <c r="F39" s="5">
        <v>0.45421827734065306</v>
      </c>
      <c r="G39" t="s">
        <v>5</v>
      </c>
    </row>
    <row r="40" spans="1:7" x14ac:dyDescent="0.2">
      <c r="A40" s="4" t="s">
        <v>15</v>
      </c>
      <c r="B40">
        <v>16</v>
      </c>
      <c r="C40" t="s">
        <v>15</v>
      </c>
      <c r="D40" t="s">
        <v>25</v>
      </c>
      <c r="E40">
        <f t="shared" si="1"/>
        <v>1200.4671777969968</v>
      </c>
      <c r="F40" s="5">
        <v>0.41353956936685282</v>
      </c>
      <c r="G40" t="s">
        <v>5</v>
      </c>
    </row>
    <row r="41" spans="1:7" x14ac:dyDescent="0.2">
      <c r="A41" s="4" t="s">
        <v>14</v>
      </c>
      <c r="B41">
        <v>16</v>
      </c>
      <c r="C41" t="s">
        <v>26</v>
      </c>
      <c r="D41" t="s">
        <v>25</v>
      </c>
      <c r="E41">
        <f t="shared" si="1"/>
        <v>1180.2269183450471</v>
      </c>
      <c r="F41" s="5">
        <v>0.40749279185558285</v>
      </c>
      <c r="G41" t="s">
        <v>5</v>
      </c>
    </row>
    <row r="42" spans="1:7" x14ac:dyDescent="0.2">
      <c r="A42" s="4" t="s">
        <v>23</v>
      </c>
      <c r="B42">
        <v>18</v>
      </c>
      <c r="C42" t="s">
        <v>28</v>
      </c>
      <c r="D42" t="s">
        <v>25</v>
      </c>
      <c r="E42">
        <f t="shared" si="1"/>
        <v>899.49908955157764</v>
      </c>
      <c r="F42" s="5">
        <v>0.32362535300353384</v>
      </c>
      <c r="G42" t="s">
        <v>5</v>
      </c>
    </row>
    <row r="43" spans="1:7" x14ac:dyDescent="0.2">
      <c r="A43" s="4" t="s">
        <v>12</v>
      </c>
      <c r="B43">
        <v>18</v>
      </c>
      <c r="C43" t="s">
        <v>28</v>
      </c>
      <c r="D43" t="s">
        <v>25</v>
      </c>
      <c r="E43">
        <f t="shared" si="1"/>
        <v>1088.8896597900571</v>
      </c>
      <c r="F43" s="5">
        <v>0.3802057858622796</v>
      </c>
      <c r="G43" t="s">
        <v>5</v>
      </c>
    </row>
    <row r="44" spans="1:7" x14ac:dyDescent="0.2">
      <c r="A44" s="4" t="s">
        <v>13</v>
      </c>
      <c r="B44">
        <v>18</v>
      </c>
      <c r="C44" t="s">
        <v>29</v>
      </c>
      <c r="D44" t="s">
        <v>25</v>
      </c>
      <c r="E44">
        <f t="shared" si="1"/>
        <v>1088.8896597900571</v>
      </c>
      <c r="F44" s="5">
        <v>0.3802057858622796</v>
      </c>
      <c r="G44" t="s">
        <v>5</v>
      </c>
    </row>
    <row r="45" spans="1:7" x14ac:dyDescent="0.2">
      <c r="A45" s="4" t="s">
        <v>15</v>
      </c>
      <c r="B45">
        <v>18</v>
      </c>
      <c r="C45" t="s">
        <v>15</v>
      </c>
      <c r="D45" t="s">
        <v>25</v>
      </c>
      <c r="E45">
        <f t="shared" si="1"/>
        <v>2076.5976029153749</v>
      </c>
      <c r="F45" s="5">
        <v>0.67528353387096818</v>
      </c>
      <c r="G45" t="s">
        <v>5</v>
      </c>
    </row>
    <row r="46" spans="1:7" x14ac:dyDescent="0.2">
      <c r="A46" s="4" t="s">
        <v>14</v>
      </c>
      <c r="B46">
        <v>18</v>
      </c>
      <c r="C46" t="s">
        <v>26</v>
      </c>
      <c r="D46" t="s">
        <v>25</v>
      </c>
      <c r="E46">
        <f t="shared" si="1"/>
        <v>1313.3830343741399</v>
      </c>
      <c r="F46" s="5">
        <v>0.44727318151927437</v>
      </c>
      <c r="G46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20CD-EE77-9241-A36D-DA852846B2A4}">
  <dimension ref="A1:F91"/>
  <sheetViews>
    <sheetView tabSelected="1" topLeftCell="A59" workbookViewId="0">
      <selection activeCell="H62" sqref="H62"/>
    </sheetView>
  </sheetViews>
  <sheetFormatPr baseColWidth="10" defaultRowHeight="16" x14ac:dyDescent="0.2"/>
  <cols>
    <col min="1" max="16384" width="10.83203125" style="7"/>
  </cols>
  <sheetData>
    <row r="1" spans="1:6" x14ac:dyDescent="0.2">
      <c r="A1" s="8" t="s">
        <v>0</v>
      </c>
      <c r="B1" s="8" t="s">
        <v>31</v>
      </c>
      <c r="C1" s="8" t="s">
        <v>32</v>
      </c>
      <c r="D1" s="8" t="s">
        <v>2</v>
      </c>
      <c r="E1" s="8" t="s">
        <v>1</v>
      </c>
      <c r="F1" s="8" t="s">
        <v>18</v>
      </c>
    </row>
    <row r="2" spans="1:6" x14ac:dyDescent="0.2">
      <c r="A2" s="8" t="s">
        <v>35</v>
      </c>
      <c r="B2" s="8" t="s">
        <v>36</v>
      </c>
      <c r="C2" s="8" t="s">
        <v>37</v>
      </c>
      <c r="D2" s="8" t="s">
        <v>60</v>
      </c>
      <c r="E2" s="8">
        <v>1</v>
      </c>
      <c r="F2" s="8">
        <v>317.42929103270473</v>
      </c>
    </row>
    <row r="3" spans="1:6" x14ac:dyDescent="0.2">
      <c r="A3" s="8" t="s">
        <v>38</v>
      </c>
      <c r="B3" s="10" t="s">
        <v>36</v>
      </c>
      <c r="C3" s="11" t="s">
        <v>37</v>
      </c>
      <c r="D3" s="11" t="s">
        <v>60</v>
      </c>
      <c r="E3" s="12">
        <v>1</v>
      </c>
      <c r="F3" s="8">
        <v>334.66670838110957</v>
      </c>
    </row>
    <row r="4" spans="1:6" x14ac:dyDescent="0.2">
      <c r="A4" s="8" t="s">
        <v>39</v>
      </c>
      <c r="B4" s="13" t="s">
        <v>36</v>
      </c>
      <c r="C4" s="9" t="s">
        <v>37</v>
      </c>
      <c r="D4" s="9" t="s">
        <v>60</v>
      </c>
      <c r="E4" s="9">
        <v>1</v>
      </c>
      <c r="F4" s="8">
        <v>297.88254893473811</v>
      </c>
    </row>
    <row r="5" spans="1:6" x14ac:dyDescent="0.2">
      <c r="A5" s="8" t="s">
        <v>40</v>
      </c>
      <c r="B5" s="13" t="s">
        <v>36</v>
      </c>
      <c r="C5" s="9" t="s">
        <v>41</v>
      </c>
      <c r="D5" s="9" t="s">
        <v>61</v>
      </c>
      <c r="E5" s="9">
        <v>1</v>
      </c>
      <c r="F5" s="8">
        <v>317.42929103270473</v>
      </c>
    </row>
    <row r="6" spans="1:6" x14ac:dyDescent="0.2">
      <c r="A6" s="8" t="s">
        <v>42</v>
      </c>
      <c r="B6" s="13" t="s">
        <v>36</v>
      </c>
      <c r="C6" s="9" t="s">
        <v>41</v>
      </c>
      <c r="D6" s="9" t="s">
        <v>61</v>
      </c>
      <c r="E6" s="9">
        <v>1</v>
      </c>
      <c r="F6" s="8">
        <v>293.76446521729184</v>
      </c>
    </row>
    <row r="7" spans="1:6" x14ac:dyDescent="0.2">
      <c r="A7" s="8" t="s">
        <v>43</v>
      </c>
      <c r="B7" s="13" t="s">
        <v>36</v>
      </c>
      <c r="C7" s="9" t="s">
        <v>41</v>
      </c>
      <c r="D7" s="9" t="s">
        <v>61</v>
      </c>
      <c r="E7" s="9">
        <v>1</v>
      </c>
      <c r="F7" s="8">
        <v>329.30661401879377</v>
      </c>
    </row>
    <row r="8" spans="1:6" x14ac:dyDescent="0.2">
      <c r="A8" s="8" t="s">
        <v>44</v>
      </c>
      <c r="B8" s="13" t="s">
        <v>34</v>
      </c>
      <c r="C8" s="9" t="s">
        <v>37</v>
      </c>
      <c r="D8" s="9" t="s">
        <v>62</v>
      </c>
      <c r="E8" s="9">
        <v>1</v>
      </c>
      <c r="F8" s="8">
        <v>509.86433252187112</v>
      </c>
    </row>
    <row r="9" spans="1:6" x14ac:dyDescent="0.2">
      <c r="A9" s="8" t="s">
        <v>45</v>
      </c>
      <c r="B9" s="13" t="s">
        <v>34</v>
      </c>
      <c r="C9" s="9" t="s">
        <v>37</v>
      </c>
      <c r="D9" s="9" t="s">
        <v>62</v>
      </c>
      <c r="E9" s="9">
        <v>1</v>
      </c>
      <c r="F9" s="8">
        <v>313.83251561994302</v>
      </c>
    </row>
    <row r="10" spans="1:6" x14ac:dyDescent="0.2">
      <c r="A10" s="8" t="s">
        <v>46</v>
      </c>
      <c r="B10" s="13" t="s">
        <v>34</v>
      </c>
      <c r="C10" s="9" t="s">
        <v>37</v>
      </c>
      <c r="D10" s="9" t="s">
        <v>62</v>
      </c>
      <c r="E10" s="9">
        <v>1</v>
      </c>
      <c r="F10" s="8">
        <v>492.24855900391572</v>
      </c>
    </row>
    <row r="11" spans="1:6" x14ac:dyDescent="0.2">
      <c r="A11" s="8" t="s">
        <v>47</v>
      </c>
      <c r="B11" s="13" t="s">
        <v>34</v>
      </c>
      <c r="C11" s="9" t="s">
        <v>41</v>
      </c>
      <c r="D11" s="9" t="s">
        <v>63</v>
      </c>
      <c r="E11" s="9">
        <v>1</v>
      </c>
      <c r="F11" s="8">
        <v>349.16170839667842</v>
      </c>
    </row>
    <row r="12" spans="1:6" x14ac:dyDescent="0.2">
      <c r="A12" s="8" t="s">
        <v>48</v>
      </c>
      <c r="B12" s="13" t="s">
        <v>34</v>
      </c>
      <c r="C12" s="9" t="s">
        <v>41</v>
      </c>
      <c r="D12" s="9" t="s">
        <v>63</v>
      </c>
      <c r="E12" s="9">
        <v>1</v>
      </c>
      <c r="F12" s="8">
        <v>328.74952891534895</v>
      </c>
    </row>
    <row r="13" spans="1:6" x14ac:dyDescent="0.2">
      <c r="A13" s="8" t="s">
        <v>49</v>
      </c>
      <c r="B13" s="13" t="s">
        <v>34</v>
      </c>
      <c r="C13" s="9" t="s">
        <v>41</v>
      </c>
      <c r="D13" s="9" t="s">
        <v>63</v>
      </c>
      <c r="E13" s="9">
        <v>1</v>
      </c>
      <c r="F13" s="8">
        <v>329.48970865770713</v>
      </c>
    </row>
    <row r="14" spans="1:6" x14ac:dyDescent="0.2">
      <c r="A14" s="8" t="s">
        <v>50</v>
      </c>
      <c r="B14" s="13" t="s">
        <v>33</v>
      </c>
      <c r="C14" s="9" t="s">
        <v>37</v>
      </c>
      <c r="D14" s="9" t="s">
        <v>64</v>
      </c>
      <c r="E14" s="9">
        <v>1</v>
      </c>
      <c r="F14" s="8">
        <v>379.59255851821138</v>
      </c>
    </row>
    <row r="15" spans="1:6" x14ac:dyDescent="0.2">
      <c r="A15" s="8" t="s">
        <v>51</v>
      </c>
      <c r="B15" s="13" t="s">
        <v>33</v>
      </c>
      <c r="C15" s="9" t="s">
        <v>37</v>
      </c>
      <c r="D15" s="9" t="s">
        <v>64</v>
      </c>
      <c r="E15" s="9">
        <v>1</v>
      </c>
      <c r="F15" s="8">
        <v>363.86069572935617</v>
      </c>
    </row>
    <row r="16" spans="1:6" x14ac:dyDescent="0.2">
      <c r="A16" s="8" t="s">
        <v>52</v>
      </c>
      <c r="B16" s="13" t="s">
        <v>33</v>
      </c>
      <c r="C16" s="9" t="s">
        <v>37</v>
      </c>
      <c r="D16" s="9" t="s">
        <v>64</v>
      </c>
      <c r="E16" s="9">
        <v>1</v>
      </c>
      <c r="F16" s="8">
        <v>410.53306787921667</v>
      </c>
    </row>
    <row r="17" spans="1:6" x14ac:dyDescent="0.2">
      <c r="A17" s="8" t="s">
        <v>53</v>
      </c>
      <c r="B17" s="13" t="s">
        <v>33</v>
      </c>
      <c r="C17" s="9" t="s">
        <v>41</v>
      </c>
      <c r="D17" s="9" t="s">
        <v>65</v>
      </c>
      <c r="E17" s="9">
        <v>1</v>
      </c>
      <c r="F17" s="8">
        <v>336.56467208943928</v>
      </c>
    </row>
    <row r="18" spans="1:6" x14ac:dyDescent="0.2">
      <c r="A18" s="8" t="s">
        <v>54</v>
      </c>
      <c r="B18" s="13" t="s">
        <v>33</v>
      </c>
      <c r="C18" s="9" t="s">
        <v>41</v>
      </c>
      <c r="D18" s="9" t="s">
        <v>65</v>
      </c>
      <c r="E18" s="9">
        <v>1</v>
      </c>
      <c r="F18" s="8">
        <v>414.55849870528198</v>
      </c>
    </row>
    <row r="19" spans="1:6" x14ac:dyDescent="0.2">
      <c r="A19" s="8" t="s">
        <v>55</v>
      </c>
      <c r="B19" s="13" t="s">
        <v>33</v>
      </c>
      <c r="C19" s="9" t="s">
        <v>41</v>
      </c>
      <c r="D19" s="9" t="s">
        <v>65</v>
      </c>
      <c r="E19" s="9">
        <v>1</v>
      </c>
      <c r="F19" s="8">
        <v>590.51728253688361</v>
      </c>
    </row>
    <row r="20" spans="1:6" x14ac:dyDescent="0.2">
      <c r="A20" s="8" t="s">
        <v>56</v>
      </c>
      <c r="B20" s="13" t="s">
        <v>36</v>
      </c>
      <c r="C20" s="9" t="s">
        <v>37</v>
      </c>
      <c r="D20" s="9" t="s">
        <v>60</v>
      </c>
      <c r="E20" s="9">
        <v>4</v>
      </c>
      <c r="F20" s="8">
        <v>520.97365641777242</v>
      </c>
    </row>
    <row r="21" spans="1:6" x14ac:dyDescent="0.2">
      <c r="A21" s="8" t="s">
        <v>38</v>
      </c>
      <c r="B21" s="13" t="s">
        <v>36</v>
      </c>
      <c r="C21" s="9" t="s">
        <v>37</v>
      </c>
      <c r="D21" s="9" t="s">
        <v>60</v>
      </c>
      <c r="E21" s="9">
        <v>4</v>
      </c>
      <c r="F21" s="8">
        <v>419.13312276145547</v>
      </c>
    </row>
    <row r="22" spans="1:6" x14ac:dyDescent="0.2">
      <c r="A22" s="8" t="s">
        <v>39</v>
      </c>
      <c r="B22" s="13" t="s">
        <v>36</v>
      </c>
      <c r="C22" s="9" t="s">
        <v>37</v>
      </c>
      <c r="D22" s="9" t="s">
        <v>60</v>
      </c>
      <c r="E22" s="9">
        <v>4</v>
      </c>
      <c r="F22" s="8">
        <v>459.7032583080852</v>
      </c>
    </row>
    <row r="23" spans="1:6" x14ac:dyDescent="0.2">
      <c r="A23" s="8" t="s">
        <v>40</v>
      </c>
      <c r="B23" s="13" t="s">
        <v>36</v>
      </c>
      <c r="C23" s="9" t="s">
        <v>41</v>
      </c>
      <c r="D23" s="9" t="s">
        <v>61</v>
      </c>
      <c r="E23" s="9">
        <v>4</v>
      </c>
      <c r="F23" s="8">
        <v>407.61315057952237</v>
      </c>
    </row>
    <row r="24" spans="1:6" x14ac:dyDescent="0.2">
      <c r="A24" s="8" t="s">
        <v>42</v>
      </c>
      <c r="B24" s="13" t="s">
        <v>36</v>
      </c>
      <c r="C24" s="9" t="s">
        <v>41</v>
      </c>
      <c r="D24" s="9" t="s">
        <v>61</v>
      </c>
      <c r="E24" s="9">
        <v>4</v>
      </c>
      <c r="F24" s="8">
        <v>472.02130185096962</v>
      </c>
    </row>
    <row r="25" spans="1:6" x14ac:dyDescent="0.2">
      <c r="A25" s="8" t="s">
        <v>43</v>
      </c>
      <c r="B25" s="13" t="s">
        <v>36</v>
      </c>
      <c r="C25" s="9" t="s">
        <v>41</v>
      </c>
      <c r="D25" s="9" t="s">
        <v>61</v>
      </c>
      <c r="E25" s="9">
        <v>4</v>
      </c>
      <c r="F25" s="8">
        <v>399.39625742179703</v>
      </c>
    </row>
    <row r="26" spans="1:6" x14ac:dyDescent="0.2">
      <c r="A26" s="8" t="s">
        <v>44</v>
      </c>
      <c r="B26" s="13" t="s">
        <v>34</v>
      </c>
      <c r="C26" s="9" t="s">
        <v>37</v>
      </c>
      <c r="D26" s="9" t="s">
        <v>62</v>
      </c>
      <c r="E26" s="9">
        <v>4</v>
      </c>
      <c r="F26" s="8">
        <v>521.21532841867611</v>
      </c>
    </row>
    <row r="27" spans="1:6" x14ac:dyDescent="0.2">
      <c r="A27" s="8" t="s">
        <v>45</v>
      </c>
      <c r="B27" s="13" t="s">
        <v>34</v>
      </c>
      <c r="C27" s="9" t="s">
        <v>37</v>
      </c>
      <c r="D27" s="9" t="s">
        <v>62</v>
      </c>
      <c r="E27" s="9">
        <v>4</v>
      </c>
      <c r="F27" s="8">
        <v>608.83396161253472</v>
      </c>
    </row>
    <row r="28" spans="1:6" x14ac:dyDescent="0.2">
      <c r="A28" s="8" t="s">
        <v>46</v>
      </c>
      <c r="B28" s="13" t="s">
        <v>34</v>
      </c>
      <c r="C28" s="9" t="s">
        <v>37</v>
      </c>
      <c r="D28" s="9" t="s">
        <v>62</v>
      </c>
      <c r="E28" s="9">
        <v>4</v>
      </c>
      <c r="F28" s="8">
        <v>696.45259480639322</v>
      </c>
    </row>
    <row r="29" spans="1:6" x14ac:dyDescent="0.2">
      <c r="A29" s="8" t="s">
        <v>47</v>
      </c>
      <c r="B29" s="13" t="s">
        <v>34</v>
      </c>
      <c r="C29" s="9" t="s">
        <v>41</v>
      </c>
      <c r="D29" s="9" t="s">
        <v>63</v>
      </c>
      <c r="E29" s="9">
        <v>4</v>
      </c>
      <c r="F29" s="8">
        <v>373.93113704764028</v>
      </c>
    </row>
    <row r="30" spans="1:6" x14ac:dyDescent="0.2">
      <c r="A30" s="8" t="s">
        <v>48</v>
      </c>
      <c r="B30" s="13" t="s">
        <v>34</v>
      </c>
      <c r="C30" s="9" t="s">
        <v>41</v>
      </c>
      <c r="D30" s="9" t="s">
        <v>63</v>
      </c>
      <c r="E30" s="9">
        <v>4</v>
      </c>
      <c r="F30" s="8">
        <v>502.52539324590157</v>
      </c>
    </row>
    <row r="31" spans="1:6" x14ac:dyDescent="0.2">
      <c r="A31" s="8" t="s">
        <v>49</v>
      </c>
      <c r="B31" s="13" t="s">
        <v>34</v>
      </c>
      <c r="C31" s="9" t="s">
        <v>41</v>
      </c>
      <c r="D31" s="9" t="s">
        <v>63</v>
      </c>
      <c r="E31" s="9">
        <v>4</v>
      </c>
      <c r="F31" s="8">
        <v>716.82765019604278</v>
      </c>
    </row>
    <row r="32" spans="1:6" x14ac:dyDescent="0.2">
      <c r="A32" s="8" t="s">
        <v>50</v>
      </c>
      <c r="B32" s="13" t="s">
        <v>33</v>
      </c>
      <c r="C32" s="9" t="s">
        <v>37</v>
      </c>
      <c r="D32" s="9" t="s">
        <v>64</v>
      </c>
      <c r="E32" s="9">
        <v>4</v>
      </c>
      <c r="F32" s="8">
        <v>418.41517572968598</v>
      </c>
    </row>
    <row r="33" spans="1:6" x14ac:dyDescent="0.2">
      <c r="A33" s="8" t="s">
        <v>51</v>
      </c>
      <c r="B33" s="13" t="s">
        <v>33</v>
      </c>
      <c r="C33" s="9" t="s">
        <v>37</v>
      </c>
      <c r="D33" s="9" t="s">
        <v>64</v>
      </c>
      <c r="E33" s="9">
        <v>4</v>
      </c>
      <c r="F33" s="8">
        <v>560.70594597878301</v>
      </c>
    </row>
    <row r="34" spans="1:6" x14ac:dyDescent="0.2">
      <c r="A34" s="8" t="s">
        <v>52</v>
      </c>
      <c r="B34" s="13" t="s">
        <v>33</v>
      </c>
      <c r="C34" s="9" t="s">
        <v>37</v>
      </c>
      <c r="D34" s="9" t="s">
        <v>64</v>
      </c>
      <c r="E34" s="9">
        <v>4</v>
      </c>
      <c r="F34" s="8">
        <v>505.75158522478409</v>
      </c>
    </row>
    <row r="35" spans="1:6" x14ac:dyDescent="0.2">
      <c r="A35" s="8" t="s">
        <v>53</v>
      </c>
      <c r="B35" s="13" t="s">
        <v>33</v>
      </c>
      <c r="C35" s="9" t="s">
        <v>41</v>
      </c>
      <c r="D35" s="9" t="s">
        <v>65</v>
      </c>
      <c r="E35" s="9">
        <v>4</v>
      </c>
      <c r="F35" s="8">
        <v>535.53108913171684</v>
      </c>
    </row>
    <row r="36" spans="1:6" x14ac:dyDescent="0.2">
      <c r="A36" s="8" t="s">
        <v>54</v>
      </c>
      <c r="B36" s="13" t="s">
        <v>33</v>
      </c>
      <c r="C36" s="9" t="s">
        <v>41</v>
      </c>
      <c r="D36" s="9" t="s">
        <v>65</v>
      </c>
      <c r="E36" s="9">
        <v>4</v>
      </c>
      <c r="F36" s="8">
        <v>428.88684886361028</v>
      </c>
    </row>
    <row r="37" spans="1:6" x14ac:dyDescent="0.2">
      <c r="A37" s="8" t="s">
        <v>55</v>
      </c>
      <c r="B37" s="13" t="s">
        <v>33</v>
      </c>
      <c r="C37" s="9" t="s">
        <v>41</v>
      </c>
      <c r="D37" s="9" t="s">
        <v>65</v>
      </c>
      <c r="E37" s="9">
        <v>4</v>
      </c>
      <c r="F37" s="8">
        <v>497.68902214054799</v>
      </c>
    </row>
    <row r="38" spans="1:6" x14ac:dyDescent="0.2">
      <c r="A38" s="8" t="s">
        <v>57</v>
      </c>
      <c r="B38" s="13" t="s">
        <v>36</v>
      </c>
      <c r="C38" s="9" t="s">
        <v>37</v>
      </c>
      <c r="D38" s="9" t="s">
        <v>60</v>
      </c>
      <c r="E38" s="9">
        <v>9</v>
      </c>
      <c r="F38" s="8">
        <v>358.52820225430122</v>
      </c>
    </row>
    <row r="39" spans="1:6" x14ac:dyDescent="0.2">
      <c r="A39" s="8" t="s">
        <v>38</v>
      </c>
      <c r="B39" s="13" t="s">
        <v>36</v>
      </c>
      <c r="C39" s="9" t="s">
        <v>37</v>
      </c>
      <c r="D39" s="9" t="s">
        <v>60</v>
      </c>
      <c r="E39" s="9">
        <v>9</v>
      </c>
      <c r="F39" s="8">
        <v>459.89537804979943</v>
      </c>
    </row>
    <row r="40" spans="1:6" x14ac:dyDescent="0.2">
      <c r="A40" s="8" t="s">
        <v>39</v>
      </c>
      <c r="B40" s="13" t="s">
        <v>36</v>
      </c>
      <c r="C40" s="9" t="s">
        <v>37</v>
      </c>
      <c r="D40" s="9" t="s">
        <v>60</v>
      </c>
      <c r="E40" s="9">
        <v>9</v>
      </c>
      <c r="F40" s="8">
        <v>453.55722312924161</v>
      </c>
    </row>
    <row r="41" spans="1:6" x14ac:dyDescent="0.2">
      <c r="A41" s="8" t="s">
        <v>40</v>
      </c>
      <c r="B41" s="13" t="s">
        <v>36</v>
      </c>
      <c r="C41" s="9" t="s">
        <v>41</v>
      </c>
      <c r="D41" s="9" t="s">
        <v>61</v>
      </c>
      <c r="E41" s="9">
        <v>9</v>
      </c>
      <c r="F41" s="8">
        <v>453.44237531861756</v>
      </c>
    </row>
    <row r="42" spans="1:6" x14ac:dyDescent="0.2">
      <c r="A42" s="8" t="s">
        <v>42</v>
      </c>
      <c r="B42" s="13" t="s">
        <v>36</v>
      </c>
      <c r="C42" s="9" t="s">
        <v>41</v>
      </c>
      <c r="D42" s="9" t="s">
        <v>61</v>
      </c>
      <c r="E42" s="9">
        <v>9</v>
      </c>
      <c r="F42" s="8">
        <v>283.53941020130776</v>
      </c>
    </row>
    <row r="43" spans="1:6" x14ac:dyDescent="0.2">
      <c r="A43" s="8" t="s">
        <v>43</v>
      </c>
      <c r="B43" s="13" t="s">
        <v>36</v>
      </c>
      <c r="C43" s="9" t="s">
        <v>41</v>
      </c>
      <c r="D43" s="9" t="s">
        <v>61</v>
      </c>
      <c r="E43" s="9">
        <v>9</v>
      </c>
      <c r="F43" s="8">
        <v>462.48749799940521</v>
      </c>
    </row>
    <row r="44" spans="1:6" x14ac:dyDescent="0.2">
      <c r="A44" s="8" t="s">
        <v>44</v>
      </c>
      <c r="B44" s="13" t="s">
        <v>34</v>
      </c>
      <c r="C44" s="9" t="s">
        <v>37</v>
      </c>
      <c r="D44" s="9" t="s">
        <v>62</v>
      </c>
      <c r="E44" s="9">
        <v>9</v>
      </c>
      <c r="F44" s="8">
        <v>411.5190662596475</v>
      </c>
    </row>
    <row r="45" spans="1:6" x14ac:dyDescent="0.2">
      <c r="A45" s="8" t="s">
        <v>45</v>
      </c>
      <c r="B45" s="13" t="s">
        <v>34</v>
      </c>
      <c r="C45" s="9" t="s">
        <v>37</v>
      </c>
      <c r="D45" s="9" t="s">
        <v>62</v>
      </c>
      <c r="E45" s="9">
        <v>9</v>
      </c>
      <c r="F45" s="8">
        <v>431.88665818709268</v>
      </c>
    </row>
    <row r="46" spans="1:6" x14ac:dyDescent="0.2">
      <c r="A46" s="8" t="s">
        <v>46</v>
      </c>
      <c r="B46" s="13" t="s">
        <v>34</v>
      </c>
      <c r="C46" s="9" t="s">
        <v>37</v>
      </c>
      <c r="D46" s="9" t="s">
        <v>62</v>
      </c>
      <c r="E46" s="9">
        <v>9</v>
      </c>
      <c r="F46" s="8">
        <v>596.00708507670834</v>
      </c>
    </row>
    <row r="47" spans="1:6" x14ac:dyDescent="0.2">
      <c r="A47" s="8" t="s">
        <v>47</v>
      </c>
      <c r="B47" s="13" t="s">
        <v>34</v>
      </c>
      <c r="C47" s="9" t="s">
        <v>41</v>
      </c>
      <c r="D47" s="9" t="s">
        <v>63</v>
      </c>
      <c r="E47" s="9">
        <v>9</v>
      </c>
      <c r="F47" s="8">
        <v>409.54410216495006</v>
      </c>
    </row>
    <row r="48" spans="1:6" x14ac:dyDescent="0.2">
      <c r="A48" s="8" t="s">
        <v>48</v>
      </c>
      <c r="B48" s="13" t="s">
        <v>34</v>
      </c>
      <c r="C48" s="9" t="s">
        <v>41</v>
      </c>
      <c r="D48" s="9" t="s">
        <v>63</v>
      </c>
      <c r="E48" s="9">
        <v>9</v>
      </c>
      <c r="F48" s="8">
        <v>429.56634246849256</v>
      </c>
    </row>
    <row r="49" spans="1:6" x14ac:dyDescent="0.2">
      <c r="A49" s="8" t="s">
        <v>49</v>
      </c>
      <c r="B49" s="13" t="s">
        <v>34</v>
      </c>
      <c r="C49" s="9" t="s">
        <v>41</v>
      </c>
      <c r="D49" s="9" t="s">
        <v>63</v>
      </c>
      <c r="E49" s="9">
        <v>9</v>
      </c>
      <c r="F49" s="8">
        <v>377.26730251824745</v>
      </c>
    </row>
    <row r="50" spans="1:6" x14ac:dyDescent="0.2">
      <c r="A50" s="8" t="s">
        <v>50</v>
      </c>
      <c r="B50" s="13" t="s">
        <v>33</v>
      </c>
      <c r="C50" s="9" t="s">
        <v>37</v>
      </c>
      <c r="D50" s="9" t="s">
        <v>64</v>
      </c>
      <c r="E50" s="9">
        <v>9</v>
      </c>
      <c r="F50" s="8">
        <v>696.69573798874683</v>
      </c>
    </row>
    <row r="51" spans="1:6" x14ac:dyDescent="0.2">
      <c r="A51" s="8" t="s">
        <v>51</v>
      </c>
      <c r="B51" s="13" t="s">
        <v>33</v>
      </c>
      <c r="C51" s="9" t="s">
        <v>37</v>
      </c>
      <c r="D51" s="9" t="s">
        <v>64</v>
      </c>
      <c r="E51" s="9">
        <v>9</v>
      </c>
      <c r="F51" s="8">
        <v>407.55353595385202</v>
      </c>
    </row>
    <row r="52" spans="1:6" x14ac:dyDescent="0.2">
      <c r="A52" s="8" t="s">
        <v>52</v>
      </c>
      <c r="B52" s="13" t="s">
        <v>33</v>
      </c>
      <c r="C52" s="9" t="s">
        <v>37</v>
      </c>
      <c r="D52" s="9" t="s">
        <v>64</v>
      </c>
      <c r="E52" s="9">
        <v>9</v>
      </c>
      <c r="F52" s="8">
        <v>375.46351347999172</v>
      </c>
    </row>
    <row r="53" spans="1:6" x14ac:dyDescent="0.2">
      <c r="A53" s="8" t="s">
        <v>53</v>
      </c>
      <c r="B53" s="13" t="s">
        <v>33</v>
      </c>
      <c r="C53" s="9" t="s">
        <v>41</v>
      </c>
      <c r="D53" s="9" t="s">
        <v>65</v>
      </c>
      <c r="E53" s="9">
        <v>9</v>
      </c>
      <c r="F53" s="8">
        <v>425.28120323894461</v>
      </c>
    </row>
    <row r="54" spans="1:6" x14ac:dyDescent="0.2">
      <c r="A54" s="8" t="s">
        <v>54</v>
      </c>
      <c r="B54" s="13" t="s">
        <v>33</v>
      </c>
      <c r="C54" s="9" t="s">
        <v>41</v>
      </c>
      <c r="D54" s="9" t="s">
        <v>65</v>
      </c>
      <c r="E54" s="9">
        <v>9</v>
      </c>
      <c r="F54" s="8">
        <v>344.47051118132043</v>
      </c>
    </row>
    <row r="55" spans="1:6" x14ac:dyDescent="0.2">
      <c r="A55" s="8" t="s">
        <v>55</v>
      </c>
      <c r="B55" s="13" t="s">
        <v>33</v>
      </c>
      <c r="C55" s="9" t="s">
        <v>41</v>
      </c>
      <c r="D55" s="9" t="s">
        <v>65</v>
      </c>
      <c r="E55" s="9">
        <v>9</v>
      </c>
      <c r="F55" s="8">
        <v>414.98972726496442</v>
      </c>
    </row>
    <row r="56" spans="1:6" x14ac:dyDescent="0.2">
      <c r="A56" s="8" t="s">
        <v>58</v>
      </c>
      <c r="B56" s="13" t="s">
        <v>36</v>
      </c>
      <c r="C56" s="9" t="s">
        <v>37</v>
      </c>
      <c r="D56" s="9" t="s">
        <v>60</v>
      </c>
      <c r="E56" s="9">
        <v>13</v>
      </c>
      <c r="F56" s="8">
        <v>225.70006349206366</v>
      </c>
    </row>
    <row r="57" spans="1:6" x14ac:dyDescent="0.2">
      <c r="A57" s="8" t="s">
        <v>38</v>
      </c>
      <c r="B57" s="13" t="s">
        <v>36</v>
      </c>
      <c r="C57" s="9" t="s">
        <v>37</v>
      </c>
      <c r="D57" s="9" t="s">
        <v>60</v>
      </c>
      <c r="E57" s="9">
        <v>13</v>
      </c>
      <c r="F57" s="8">
        <v>465.97335379062775</v>
      </c>
    </row>
    <row r="58" spans="1:6" x14ac:dyDescent="0.2">
      <c r="A58" s="8" t="s">
        <v>39</v>
      </c>
      <c r="B58" s="13" t="s">
        <v>36</v>
      </c>
      <c r="C58" s="9" t="s">
        <v>37</v>
      </c>
      <c r="D58" s="9" t="s">
        <v>60</v>
      </c>
      <c r="E58" s="9">
        <v>13</v>
      </c>
      <c r="F58" s="8">
        <v>355.91516416202813</v>
      </c>
    </row>
    <row r="59" spans="1:6" x14ac:dyDescent="0.2">
      <c r="A59" s="8" t="s">
        <v>40</v>
      </c>
      <c r="B59" s="13" t="s">
        <v>36</v>
      </c>
      <c r="C59" s="9" t="s">
        <v>41</v>
      </c>
      <c r="D59" s="9" t="s">
        <v>61</v>
      </c>
      <c r="E59" s="9">
        <v>13</v>
      </c>
      <c r="F59" s="8">
        <v>268.86981509465465</v>
      </c>
    </row>
    <row r="60" spans="1:6" x14ac:dyDescent="0.2">
      <c r="A60" s="8" t="s">
        <v>42</v>
      </c>
      <c r="B60" s="13" t="s">
        <v>36</v>
      </c>
      <c r="C60" s="9" t="s">
        <v>41</v>
      </c>
      <c r="D60" s="9" t="s">
        <v>61</v>
      </c>
      <c r="E60" s="9">
        <v>13</v>
      </c>
      <c r="F60" s="8">
        <v>202.86740322014464</v>
      </c>
    </row>
    <row r="61" spans="1:6" x14ac:dyDescent="0.2">
      <c r="A61" s="8" t="s">
        <v>43</v>
      </c>
      <c r="B61" s="13" t="s">
        <v>36</v>
      </c>
      <c r="C61" s="9" t="s">
        <v>41</v>
      </c>
      <c r="D61" s="9" t="s">
        <v>61</v>
      </c>
      <c r="E61" s="9">
        <v>13</v>
      </c>
      <c r="F61" s="8">
        <v>302.91215101977588</v>
      </c>
    </row>
    <row r="62" spans="1:6" x14ac:dyDescent="0.2">
      <c r="A62" s="8" t="s">
        <v>44</v>
      </c>
      <c r="B62" s="13" t="s">
        <v>34</v>
      </c>
      <c r="C62" s="9" t="s">
        <v>37</v>
      </c>
      <c r="D62" s="9" t="s">
        <v>62</v>
      </c>
      <c r="E62" s="9">
        <v>13</v>
      </c>
      <c r="F62" s="8">
        <v>499.62426436683467</v>
      </c>
    </row>
    <row r="63" spans="1:6" x14ac:dyDescent="0.2">
      <c r="A63" s="8" t="s">
        <v>45</v>
      </c>
      <c r="B63" s="13" t="s">
        <v>34</v>
      </c>
      <c r="C63" s="9" t="s">
        <v>37</v>
      </c>
      <c r="D63" s="9" t="s">
        <v>62</v>
      </c>
      <c r="E63" s="9">
        <v>13</v>
      </c>
      <c r="F63" s="8">
        <v>297.69840771417807</v>
      </c>
    </row>
    <row r="64" spans="1:6" x14ac:dyDescent="0.2">
      <c r="A64" s="8" t="s">
        <v>46</v>
      </c>
      <c r="B64" s="13" t="s">
        <v>34</v>
      </c>
      <c r="C64" s="9" t="s">
        <v>37</v>
      </c>
      <c r="D64" s="9" t="s">
        <v>62</v>
      </c>
      <c r="E64" s="9">
        <v>13</v>
      </c>
      <c r="F64" s="8">
        <v>419.73909164774591</v>
      </c>
    </row>
    <row r="65" spans="1:6" x14ac:dyDescent="0.2">
      <c r="A65" s="8" t="s">
        <v>47</v>
      </c>
      <c r="B65" s="13" t="s">
        <v>34</v>
      </c>
      <c r="C65" s="9" t="s">
        <v>41</v>
      </c>
      <c r="D65" s="9" t="s">
        <v>63</v>
      </c>
      <c r="E65" s="9">
        <v>13</v>
      </c>
      <c r="F65" s="8">
        <v>386.9245712008651</v>
      </c>
    </row>
    <row r="66" spans="1:6" x14ac:dyDescent="0.2">
      <c r="A66" s="8" t="s">
        <v>48</v>
      </c>
      <c r="B66" s="13" t="s">
        <v>34</v>
      </c>
      <c r="C66" s="9" t="s">
        <v>41</v>
      </c>
      <c r="D66" s="9" t="s">
        <v>63</v>
      </c>
      <c r="E66" s="9">
        <v>13</v>
      </c>
      <c r="F66" s="8">
        <v>511.64661554663678</v>
      </c>
    </row>
    <row r="67" spans="1:6" x14ac:dyDescent="0.2">
      <c r="A67" s="8" t="s">
        <v>49</v>
      </c>
      <c r="B67" s="13" t="s">
        <v>34</v>
      </c>
      <c r="C67" s="9" t="s">
        <v>41</v>
      </c>
      <c r="D67" s="9" t="s">
        <v>63</v>
      </c>
      <c r="E67" s="9">
        <v>13</v>
      </c>
      <c r="F67" s="8">
        <v>305.68494228598013</v>
      </c>
    </row>
    <row r="68" spans="1:6" x14ac:dyDescent="0.2">
      <c r="A68" s="8" t="s">
        <v>50</v>
      </c>
      <c r="B68" s="13" t="s">
        <v>33</v>
      </c>
      <c r="C68" s="9" t="s">
        <v>37</v>
      </c>
      <c r="D68" s="9" t="s">
        <v>64</v>
      </c>
      <c r="E68" s="9">
        <v>13</v>
      </c>
      <c r="F68" s="8">
        <v>406.63227438590462</v>
      </c>
    </row>
    <row r="69" spans="1:6" x14ac:dyDescent="0.2">
      <c r="A69" s="8" t="s">
        <v>51</v>
      </c>
      <c r="B69" s="13" t="s">
        <v>33</v>
      </c>
      <c r="C69" s="9" t="s">
        <v>37</v>
      </c>
      <c r="D69" s="9" t="s">
        <v>64</v>
      </c>
      <c r="E69" s="9">
        <v>13</v>
      </c>
      <c r="F69" s="8">
        <v>471.74097203958343</v>
      </c>
    </row>
    <row r="70" spans="1:6" x14ac:dyDescent="0.2">
      <c r="A70" s="8" t="s">
        <v>52</v>
      </c>
      <c r="B70" s="13" t="s">
        <v>33</v>
      </c>
      <c r="C70" s="9" t="s">
        <v>37</v>
      </c>
      <c r="D70" s="9" t="s">
        <v>64</v>
      </c>
      <c r="E70" s="9">
        <v>13</v>
      </c>
      <c r="F70" s="8">
        <v>817.31762995853899</v>
      </c>
    </row>
    <row r="71" spans="1:6" x14ac:dyDescent="0.2">
      <c r="A71" s="8" t="s">
        <v>53</v>
      </c>
      <c r="B71" s="13" t="s">
        <v>33</v>
      </c>
      <c r="C71" s="9" t="s">
        <v>41</v>
      </c>
      <c r="D71" s="9" t="s">
        <v>65</v>
      </c>
      <c r="E71" s="9">
        <v>13</v>
      </c>
      <c r="F71" s="8">
        <v>531.51179233199593</v>
      </c>
    </row>
    <row r="72" spans="1:6" x14ac:dyDescent="0.2">
      <c r="A72" s="8" t="s">
        <v>54</v>
      </c>
      <c r="B72" s="13" t="s">
        <v>33</v>
      </c>
      <c r="C72" s="9" t="s">
        <v>41</v>
      </c>
      <c r="D72" s="9" t="s">
        <v>65</v>
      </c>
      <c r="E72" s="9">
        <v>13</v>
      </c>
      <c r="F72" s="8">
        <v>404.60454713991589</v>
      </c>
    </row>
    <row r="73" spans="1:6" x14ac:dyDescent="0.2">
      <c r="A73" s="8" t="s">
        <v>55</v>
      </c>
      <c r="B73" s="13" t="s">
        <v>33</v>
      </c>
      <c r="C73" s="9" t="s">
        <v>41</v>
      </c>
      <c r="D73" s="9" t="s">
        <v>65</v>
      </c>
      <c r="E73" s="9">
        <v>13</v>
      </c>
      <c r="F73" s="8">
        <v>508.42030379794886</v>
      </c>
    </row>
    <row r="74" spans="1:6" x14ac:dyDescent="0.2">
      <c r="A74" s="8" t="s">
        <v>59</v>
      </c>
      <c r="B74" s="8" t="s">
        <v>36</v>
      </c>
      <c r="C74" s="8" t="s">
        <v>37</v>
      </c>
      <c r="D74" s="8" t="s">
        <v>60</v>
      </c>
      <c r="E74" s="8">
        <v>14.5</v>
      </c>
      <c r="F74" s="8">
        <v>284.28179238892221</v>
      </c>
    </row>
    <row r="75" spans="1:6" x14ac:dyDescent="0.2">
      <c r="A75" s="8" t="s">
        <v>38</v>
      </c>
      <c r="B75" s="8" t="s">
        <v>36</v>
      </c>
      <c r="C75" s="8" t="s">
        <v>37</v>
      </c>
      <c r="D75" s="8" t="s">
        <v>60</v>
      </c>
      <c r="E75" s="8">
        <v>14.5</v>
      </c>
      <c r="F75" s="8">
        <v>341.55698342262849</v>
      </c>
    </row>
    <row r="76" spans="1:6" x14ac:dyDescent="0.2">
      <c r="A76" s="8" t="s">
        <v>39</v>
      </c>
      <c r="B76" s="8" t="s">
        <v>36</v>
      </c>
      <c r="C76" s="8" t="s">
        <v>37</v>
      </c>
      <c r="D76" s="8" t="s">
        <v>60</v>
      </c>
      <c r="E76" s="8">
        <v>14.5</v>
      </c>
      <c r="F76" s="8">
        <v>313.72471439579562</v>
      </c>
    </row>
    <row r="77" spans="1:6" x14ac:dyDescent="0.2">
      <c r="A77" s="8" t="s">
        <v>40</v>
      </c>
      <c r="B77" s="8" t="s">
        <v>36</v>
      </c>
      <c r="C77" s="8" t="s">
        <v>41</v>
      </c>
      <c r="D77" s="8" t="s">
        <v>61</v>
      </c>
      <c r="E77" s="8">
        <v>14.5</v>
      </c>
      <c r="F77" s="8">
        <v>173.54607884234474</v>
      </c>
    </row>
    <row r="78" spans="1:6" x14ac:dyDescent="0.2">
      <c r="A78" s="8" t="s">
        <v>42</v>
      </c>
      <c r="B78" s="8" t="s">
        <v>36</v>
      </c>
      <c r="C78" s="8" t="s">
        <v>41</v>
      </c>
      <c r="D78" s="8" t="s">
        <v>61</v>
      </c>
      <c r="E78" s="8">
        <v>14.5</v>
      </c>
      <c r="F78" s="8">
        <v>163.17938480259346</v>
      </c>
    </row>
    <row r="79" spans="1:6" x14ac:dyDescent="0.2">
      <c r="A79" s="8" t="s">
        <v>43</v>
      </c>
      <c r="B79" s="8" t="s">
        <v>36</v>
      </c>
      <c r="C79" s="8" t="s">
        <v>41</v>
      </c>
      <c r="D79" s="8" t="s">
        <v>61</v>
      </c>
      <c r="E79" s="8">
        <v>14.5</v>
      </c>
      <c r="F79" s="8">
        <v>276.22472646411882</v>
      </c>
    </row>
    <row r="80" spans="1:6" x14ac:dyDescent="0.2">
      <c r="A80" s="8" t="s">
        <v>44</v>
      </c>
      <c r="B80" s="8" t="s">
        <v>34</v>
      </c>
      <c r="C80" s="8" t="s">
        <v>37</v>
      </c>
      <c r="D80" s="8" t="s">
        <v>62</v>
      </c>
      <c r="E80" s="8">
        <v>14.5</v>
      </c>
      <c r="F80" s="8">
        <v>539.16290980622875</v>
      </c>
    </row>
    <row r="81" spans="1:6" x14ac:dyDescent="0.2">
      <c r="A81" s="8" t="s">
        <v>45</v>
      </c>
      <c r="B81" s="8" t="s">
        <v>34</v>
      </c>
      <c r="C81" s="8" t="s">
        <v>37</v>
      </c>
      <c r="D81" s="8" t="s">
        <v>62</v>
      </c>
      <c r="E81" s="8">
        <v>14.5</v>
      </c>
      <c r="F81" s="8">
        <v>300.74858058315135</v>
      </c>
    </row>
    <row r="82" spans="1:6" x14ac:dyDescent="0.2">
      <c r="A82" s="8" t="s">
        <v>46</v>
      </c>
      <c r="B82" s="8" t="s">
        <v>34</v>
      </c>
      <c r="C82" s="8" t="s">
        <v>37</v>
      </c>
      <c r="D82" s="8" t="s">
        <v>62</v>
      </c>
      <c r="E82" s="8">
        <v>14.5</v>
      </c>
      <c r="F82" s="8">
        <v>442.20823895229887</v>
      </c>
    </row>
    <row r="83" spans="1:6" x14ac:dyDescent="0.2">
      <c r="A83" s="8" t="s">
        <v>47</v>
      </c>
      <c r="B83" s="8" t="s">
        <v>34</v>
      </c>
      <c r="C83" s="8" t="s">
        <v>41</v>
      </c>
      <c r="D83" s="8" t="s">
        <v>63</v>
      </c>
      <c r="E83" s="8">
        <v>14.5</v>
      </c>
      <c r="F83" s="8">
        <v>339.87155696584443</v>
      </c>
    </row>
    <row r="84" spans="1:6" x14ac:dyDescent="0.2">
      <c r="A84" s="8" t="s">
        <v>48</v>
      </c>
      <c r="B84" s="8" t="s">
        <v>34</v>
      </c>
      <c r="C84" s="8" t="s">
        <v>41</v>
      </c>
      <c r="D84" s="8" t="s">
        <v>63</v>
      </c>
      <c r="E84" s="8">
        <v>14.5</v>
      </c>
      <c r="F84" s="8">
        <v>401.68682054713111</v>
      </c>
    </row>
    <row r="85" spans="1:6" x14ac:dyDescent="0.2">
      <c r="A85" s="8" t="s">
        <v>49</v>
      </c>
      <c r="B85" s="8" t="s">
        <v>34</v>
      </c>
      <c r="C85" s="8" t="s">
        <v>41</v>
      </c>
      <c r="D85" s="8" t="s">
        <v>63</v>
      </c>
      <c r="E85" s="8">
        <v>14.5</v>
      </c>
      <c r="F85" s="8">
        <v>301.78496001128957</v>
      </c>
    </row>
    <row r="86" spans="1:6" x14ac:dyDescent="0.2">
      <c r="A86" s="8" t="s">
        <v>50</v>
      </c>
      <c r="B86" s="8" t="s">
        <v>33</v>
      </c>
      <c r="C86" s="8" t="s">
        <v>37</v>
      </c>
      <c r="D86" s="8" t="s">
        <v>64</v>
      </c>
      <c r="E86" s="8">
        <v>14.5</v>
      </c>
      <c r="F86" s="8">
        <v>371.45126879399311</v>
      </c>
    </row>
    <row r="87" spans="1:6" x14ac:dyDescent="0.2">
      <c r="A87" s="8" t="s">
        <v>51</v>
      </c>
      <c r="B87" s="8" t="s">
        <v>33</v>
      </c>
      <c r="C87" s="8" t="s">
        <v>37</v>
      </c>
      <c r="D87" s="8" t="s">
        <v>64</v>
      </c>
      <c r="E87" s="8">
        <v>14.5</v>
      </c>
      <c r="F87" s="8">
        <v>528.63494618914388</v>
      </c>
    </row>
    <row r="88" spans="1:6" x14ac:dyDescent="0.2">
      <c r="A88" s="8" t="s">
        <v>52</v>
      </c>
      <c r="B88" s="8" t="s">
        <v>33</v>
      </c>
      <c r="C88" s="8" t="s">
        <v>37</v>
      </c>
      <c r="D88" s="8" t="s">
        <v>64</v>
      </c>
      <c r="E88" s="8">
        <v>14.5</v>
      </c>
      <c r="F88" s="8">
        <v>414.77956930753106</v>
      </c>
    </row>
    <row r="89" spans="1:6" x14ac:dyDescent="0.2">
      <c r="A89" s="8" t="s">
        <v>53</v>
      </c>
      <c r="B89" s="8" t="s">
        <v>33</v>
      </c>
      <c r="C89" s="8" t="s">
        <v>41</v>
      </c>
      <c r="D89" s="8" t="s">
        <v>65</v>
      </c>
      <c r="E89" s="8">
        <v>14.5</v>
      </c>
      <c r="F89" s="8">
        <v>611.40476534011896</v>
      </c>
    </row>
    <row r="90" spans="1:6" x14ac:dyDescent="0.2">
      <c r="A90" s="8" t="s">
        <v>54</v>
      </c>
      <c r="B90" s="8" t="s">
        <v>33</v>
      </c>
      <c r="C90" s="8" t="s">
        <v>41</v>
      </c>
      <c r="D90" s="8" t="s">
        <v>65</v>
      </c>
      <c r="E90" s="8">
        <v>14.5</v>
      </c>
      <c r="F90" s="8">
        <v>452.66943821317705</v>
      </c>
    </row>
    <row r="91" spans="1:6" x14ac:dyDescent="0.2">
      <c r="A91" s="8" t="s">
        <v>55</v>
      </c>
      <c r="B91" s="8" t="s">
        <v>33</v>
      </c>
      <c r="C91" s="8" t="s">
        <v>41</v>
      </c>
      <c r="D91" s="8" t="s">
        <v>65</v>
      </c>
      <c r="E91" s="8">
        <v>14.5</v>
      </c>
      <c r="F91" s="8">
        <v>416.03642639652639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MultiSludge</vt:lpstr>
      <vt:lpstr>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2025-08-03T06:33:07Z</dcterms:created>
  <dcterms:modified xsi:type="dcterms:W3CDTF">2025-12-02T08:52:36Z</dcterms:modified>
</cp:coreProperties>
</file>