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ModuleMin/data/Fig1/"/>
    </mc:Choice>
  </mc:AlternateContent>
  <xr:revisionPtr revIDLastSave="0" documentId="13_ncr:1_{2DD73276-A461-8A44-8378-E93A427F0A88}" xr6:coauthVersionLast="47" xr6:coauthVersionMax="47" xr10:uidLastSave="{00000000-0000-0000-0000-000000000000}"/>
  <bookViews>
    <workbookView xWindow="1400" yWindow="1060" windowWidth="19940" windowHeight="14120" activeTab="5" xr2:uid="{E0674F50-E894-0943-9BED-7D5CBF68D0EA}"/>
  </bookViews>
  <sheets>
    <sheet name="Fig. 1b" sheetId="1" r:id="rId1"/>
    <sheet name="Fig. 2a" sheetId="2" r:id="rId2"/>
    <sheet name="Fig. 3a" sheetId="3" r:id="rId3"/>
    <sheet name="Fig. 3b" sheetId="4" r:id="rId4"/>
    <sheet name="Fig. 3c" sheetId="5" r:id="rId5"/>
    <sheet name="Fig. 3d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3" l="1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G49" i="3" s="1"/>
  <c r="F49" i="3" s="1"/>
  <c r="H30" i="3"/>
  <c r="H29" i="3"/>
  <c r="H28" i="3"/>
  <c r="G28" i="3" s="1"/>
  <c r="F28" i="3" s="1"/>
  <c r="H27" i="3"/>
  <c r="H26" i="3"/>
  <c r="H25" i="3"/>
  <c r="H24" i="3"/>
  <c r="H23" i="3"/>
  <c r="G41" i="3" s="1"/>
  <c r="F41" i="3" s="1"/>
  <c r="H22" i="3"/>
  <c r="H21" i="3"/>
  <c r="G39" i="3" s="1"/>
  <c r="F39" i="3" s="1"/>
  <c r="H20" i="3"/>
  <c r="G38" i="3" s="1"/>
  <c r="F38" i="3" s="1"/>
  <c r="H19" i="3"/>
  <c r="G37" i="3" s="1"/>
  <c r="F37" i="3" s="1"/>
  <c r="H18" i="3"/>
  <c r="H17" i="3"/>
  <c r="H16" i="3"/>
  <c r="G34" i="3" s="1"/>
  <c r="F34" i="3" s="1"/>
  <c r="H15" i="3"/>
  <c r="G33" i="3" s="1"/>
  <c r="F33" i="3" s="1"/>
  <c r="H14" i="3"/>
  <c r="H13" i="3"/>
  <c r="H12" i="3"/>
  <c r="H11" i="3"/>
  <c r="H10" i="3"/>
  <c r="H9" i="3"/>
  <c r="H8" i="3"/>
  <c r="H7" i="3"/>
  <c r="H6" i="3"/>
  <c r="G24" i="3" s="1"/>
  <c r="F24" i="3" s="1"/>
  <c r="H5" i="3"/>
  <c r="H4" i="3"/>
  <c r="G22" i="3" s="1"/>
  <c r="F22" i="3" s="1"/>
  <c r="G29" i="3" l="1"/>
  <c r="F29" i="3" s="1"/>
  <c r="G30" i="3"/>
  <c r="F30" i="3" s="1"/>
  <c r="G26" i="3"/>
  <c r="F26" i="3" s="1"/>
  <c r="G42" i="3"/>
  <c r="F42" i="3" s="1"/>
  <c r="G57" i="3"/>
  <c r="F57" i="3" s="1"/>
  <c r="G25" i="3"/>
  <c r="F25" i="3" s="1"/>
  <c r="G23" i="3"/>
  <c r="F23" i="3" s="1"/>
  <c r="G27" i="3"/>
  <c r="F27" i="3" s="1"/>
  <c r="G35" i="3"/>
  <c r="F35" i="3" s="1"/>
  <c r="G43" i="3"/>
  <c r="F43" i="3" s="1"/>
  <c r="G51" i="3"/>
  <c r="F51" i="3" s="1"/>
  <c r="G36" i="3"/>
  <c r="F36" i="3" s="1"/>
  <c r="G44" i="3"/>
  <c r="F44" i="3" s="1"/>
  <c r="G52" i="3"/>
  <c r="F52" i="3" s="1"/>
  <c r="G55" i="3"/>
  <c r="F55" i="3" s="1"/>
  <c r="G32" i="3"/>
  <c r="F32" i="3" s="1"/>
  <c r="G40" i="3"/>
  <c r="F40" i="3" s="1"/>
  <c r="G48" i="3"/>
  <c r="F48" i="3" s="1"/>
  <c r="G56" i="3"/>
  <c r="F56" i="3" s="1"/>
  <c r="G31" i="3"/>
  <c r="F31" i="3" s="1"/>
  <c r="G47" i="3"/>
  <c r="F47" i="3" s="1"/>
  <c r="G50" i="3"/>
  <c r="F50" i="3" s="1"/>
  <c r="G45" i="3"/>
  <c r="F45" i="3" s="1"/>
  <c r="G53" i="3"/>
  <c r="F53" i="3" s="1"/>
  <c r="G46" i="3"/>
  <c r="F46" i="3" s="1"/>
  <c r="G54" i="3"/>
  <c r="F54" i="3" s="1"/>
</calcChain>
</file>

<file path=xl/sharedStrings.xml><?xml version="1.0" encoding="utf-8"?>
<sst xmlns="http://schemas.openxmlformats.org/spreadsheetml/2006/main" count="3280" uniqueCount="357">
  <si>
    <t>Samples</t>
  </si>
  <si>
    <t>Time</t>
  </si>
  <si>
    <t>Group</t>
  </si>
  <si>
    <t>Batch</t>
  </si>
  <si>
    <t>CNconversion</t>
  </si>
  <si>
    <t>TIC</t>
  </si>
  <si>
    <t>D1</t>
  </si>
  <si>
    <t>Dark</t>
  </si>
  <si>
    <t>Batch1</t>
  </si>
  <si>
    <t>D2</t>
  </si>
  <si>
    <t>D3</t>
  </si>
  <si>
    <t>I1</t>
  </si>
  <si>
    <t>IR</t>
  </si>
  <si>
    <t>I2</t>
  </si>
  <si>
    <t>I3</t>
  </si>
  <si>
    <t>Batch2</t>
  </si>
  <si>
    <t>Batch3</t>
  </si>
  <si>
    <t>Fig. 1a</t>
    <phoneticPr fontId="0" type="noConversion"/>
  </si>
  <si>
    <t>CCUS</t>
  </si>
  <si>
    <t>D1-1016</t>
  </si>
  <si>
    <t>Opto4</t>
  </si>
  <si>
    <t>D1-0122</t>
  </si>
  <si>
    <t>Opto5</t>
  </si>
  <si>
    <t>D1-0212</t>
  </si>
  <si>
    <t>Opto6</t>
  </si>
  <si>
    <t>Genus</t>
  </si>
  <si>
    <t>IR1</t>
  </si>
  <si>
    <t>IR2</t>
  </si>
  <si>
    <t>IR3</t>
  </si>
  <si>
    <t>Dark1</t>
  </si>
  <si>
    <t>Dark2</t>
  </si>
  <si>
    <t>Dark3</t>
  </si>
  <si>
    <t>g__Aequorivita</t>
  </si>
  <si>
    <t>g__Aliidiomarina</t>
  </si>
  <si>
    <t>g__Vicingus</t>
  </si>
  <si>
    <t>g__Kangiella</t>
  </si>
  <si>
    <t>g__Halomonas</t>
  </si>
  <si>
    <t>g__unclassified_c__Gammaproteobacteria</t>
  </si>
  <si>
    <t>BiomassSynthesisRate</t>
  </si>
  <si>
    <t>BiomassSynthesis</t>
  </si>
  <si>
    <t>DCW (mg/l)</t>
  </si>
  <si>
    <t>OD600</t>
  </si>
  <si>
    <t>D1_0105</t>
  </si>
  <si>
    <t>D1_0108</t>
  </si>
  <si>
    <t>D1_0117</t>
  </si>
  <si>
    <t>Light</t>
  </si>
  <si>
    <t>Day</t>
  </si>
  <si>
    <t>Shannon</t>
  </si>
  <si>
    <t>Date</t>
  </si>
  <si>
    <t>D1_1_17</t>
  </si>
  <si>
    <t>Dark_day14</t>
  </si>
  <si>
    <t>Day 14</t>
  </si>
  <si>
    <t>D2_1_17</t>
  </si>
  <si>
    <t>D3_1_17</t>
  </si>
  <si>
    <t>D1_1_5</t>
  </si>
  <si>
    <t>Dark_day2</t>
  </si>
  <si>
    <t>Day 2</t>
  </si>
  <si>
    <t>D2_1_5</t>
  </si>
  <si>
    <t>D3_1_5</t>
  </si>
  <si>
    <t>D1_1_26</t>
  </si>
  <si>
    <t>Dark_day23</t>
  </si>
  <si>
    <t>Day 23</t>
  </si>
  <si>
    <t>D2_1_26</t>
  </si>
  <si>
    <t>D3_1_26</t>
  </si>
  <si>
    <t>D1_1_7</t>
  </si>
  <si>
    <t>Dark_day4</t>
  </si>
  <si>
    <t>Day 4</t>
  </si>
  <si>
    <t>D2_1_7</t>
  </si>
  <si>
    <t>D3_1_7</t>
  </si>
  <si>
    <t>D1_1_12</t>
  </si>
  <si>
    <t>Dark_day9</t>
  </si>
  <si>
    <t>Day 9</t>
  </si>
  <si>
    <t>D2_1_12</t>
  </si>
  <si>
    <t>D3_1_12</t>
  </si>
  <si>
    <t>I1_1_17</t>
  </si>
  <si>
    <t>IR_day14</t>
  </si>
  <si>
    <t>I2_1_17</t>
  </si>
  <si>
    <t>I3_1_17</t>
  </si>
  <si>
    <t>I1_1_5</t>
  </si>
  <si>
    <t>IR_day2</t>
  </si>
  <si>
    <t>I2_1_5</t>
  </si>
  <si>
    <t>I3_1_5</t>
  </si>
  <si>
    <t>I1_1_26</t>
  </si>
  <si>
    <t>IR_day23</t>
  </si>
  <si>
    <t>I2_1_26</t>
  </si>
  <si>
    <t>I3_1_26</t>
  </si>
  <si>
    <t>I1_1_7</t>
  </si>
  <si>
    <t>IR_day4</t>
  </si>
  <si>
    <t>I2_1_7</t>
  </si>
  <si>
    <t>I3_1_7</t>
  </si>
  <si>
    <t>I1_1_12</t>
  </si>
  <si>
    <t>IR_day9</t>
  </si>
  <si>
    <t>I2_1_12</t>
  </si>
  <si>
    <t>I3_1_12</t>
  </si>
  <si>
    <t>Sample</t>
  </si>
  <si>
    <t>Fig. 2a</t>
  </si>
  <si>
    <t>Fig. 3a</t>
  </si>
  <si>
    <t>Fig. 3b</t>
  </si>
  <si>
    <t>Fig. 3c</t>
  </si>
  <si>
    <t>source</t>
  </si>
  <si>
    <t>target</t>
  </si>
  <si>
    <t>weight</t>
  </si>
  <si>
    <t>ASV100</t>
  </si>
  <si>
    <t>ASV109</t>
  </si>
  <si>
    <t>ASV110</t>
  </si>
  <si>
    <t>ASV113</t>
  </si>
  <si>
    <t>ASV115</t>
  </si>
  <si>
    <t>ASV116</t>
  </si>
  <si>
    <t>ASV14</t>
  </si>
  <si>
    <t>ASV19</t>
  </si>
  <si>
    <t>ASV20</t>
  </si>
  <si>
    <t>ASV21</t>
  </si>
  <si>
    <t>ASV22</t>
  </si>
  <si>
    <t>ASV239</t>
  </si>
  <si>
    <t>ASV28</t>
  </si>
  <si>
    <t>ASV29</t>
  </si>
  <si>
    <t>ASV2913</t>
  </si>
  <si>
    <t>ASV36</t>
  </si>
  <si>
    <t>ASV37</t>
  </si>
  <si>
    <t>ASV388</t>
  </si>
  <si>
    <t>ASV390</t>
  </si>
  <si>
    <t>ASV42</t>
  </si>
  <si>
    <t>ASV43</t>
  </si>
  <si>
    <t>ASV442</t>
  </si>
  <si>
    <t>ASV45</t>
  </si>
  <si>
    <t>ASV49</t>
  </si>
  <si>
    <t>ASV50</t>
  </si>
  <si>
    <t>ASV52</t>
  </si>
  <si>
    <t>ASV53</t>
  </si>
  <si>
    <t>ASV54</t>
  </si>
  <si>
    <t>ASV57</t>
  </si>
  <si>
    <t>ASV59</t>
  </si>
  <si>
    <t>ASV62</t>
  </si>
  <si>
    <t>ASV67</t>
  </si>
  <si>
    <t>ASV68</t>
  </si>
  <si>
    <t>ASV72</t>
  </si>
  <si>
    <t>ASV73</t>
  </si>
  <si>
    <t>ASV88</t>
  </si>
  <si>
    <t>ASV91</t>
  </si>
  <si>
    <t>ASV92</t>
  </si>
  <si>
    <t>ASV938</t>
  </si>
  <si>
    <t>ASV94</t>
  </si>
  <si>
    <t>ASV96</t>
  </si>
  <si>
    <t>ASV97</t>
  </si>
  <si>
    <t>ASV103</t>
  </si>
  <si>
    <t>ASV1117</t>
  </si>
  <si>
    <t>ASV74</t>
  </si>
  <si>
    <t>ASV93</t>
  </si>
  <si>
    <t>ASV24</t>
  </si>
  <si>
    <t>ASV25</t>
  </si>
  <si>
    <t>ASV39</t>
  </si>
  <si>
    <t>ASV66</t>
  </si>
  <si>
    <t>ASV695</t>
  </si>
  <si>
    <t>ASV170</t>
  </si>
  <si>
    <t>ASV139</t>
  </si>
  <si>
    <t>ASV90</t>
  </si>
  <si>
    <t>ASV193</t>
  </si>
  <si>
    <t>ASV46</t>
  </si>
  <si>
    <t>ASV58</t>
  </si>
  <si>
    <t>ASV865</t>
  </si>
  <si>
    <t>ASV172</t>
  </si>
  <si>
    <t>ASV181</t>
  </si>
  <si>
    <t>ASV41</t>
  </si>
  <si>
    <t>network_edges</t>
  </si>
  <si>
    <t>ASV</t>
  </si>
  <si>
    <t>degree</t>
  </si>
  <si>
    <t>betweenness</t>
  </si>
  <si>
    <t>closeness</t>
  </si>
  <si>
    <t>eigenvector</t>
  </si>
  <si>
    <t>Zi</t>
  </si>
  <si>
    <t>Pi</t>
  </si>
  <si>
    <t>Role</t>
  </si>
  <si>
    <t>RF_Importance</t>
  </si>
  <si>
    <t>Domain</t>
  </si>
  <si>
    <t>Kingdom</t>
  </si>
  <si>
    <t>Phylum</t>
  </si>
  <si>
    <t>Class</t>
  </si>
  <si>
    <t>Order</t>
  </si>
  <si>
    <t>Family</t>
  </si>
  <si>
    <t>Species</t>
  </si>
  <si>
    <t>is_keystone</t>
  </si>
  <si>
    <t>module</t>
  </si>
  <si>
    <t>Peripheral</t>
  </si>
  <si>
    <t>Bacteria</t>
  </si>
  <si>
    <t>k__norank_d__Bacteria</t>
  </si>
  <si>
    <t>Pseudomonadota</t>
  </si>
  <si>
    <t>Alphaproteobacteria</t>
  </si>
  <si>
    <t>Hyphomicrobiales</t>
  </si>
  <si>
    <t>Rhizobiaceae</t>
  </si>
  <si>
    <t>g__unclassified_f__Rhizobiaceae</t>
  </si>
  <si>
    <t>s__unclassified_f__Rhizobiaceae</t>
  </si>
  <si>
    <t>Connector</t>
  </si>
  <si>
    <t>Planctomycetota</t>
  </si>
  <si>
    <t>Phycisphaerae</t>
  </si>
  <si>
    <t>Phycisphaerales</t>
  </si>
  <si>
    <t>Phycisphaeraceae</t>
  </si>
  <si>
    <t>SM1A02</t>
  </si>
  <si>
    <t>s__uncultured_bacterium_g__SM1A02</t>
  </si>
  <si>
    <t>Rhodobacterales</t>
  </si>
  <si>
    <t>Paracoccaceae</t>
  </si>
  <si>
    <t>g__unclassified_f__Paracoccaceae</t>
  </si>
  <si>
    <t>s__unclassified_f__Paracoccaceae</t>
  </si>
  <si>
    <t>Brocadiae</t>
  </si>
  <si>
    <t>Brocadiales</t>
  </si>
  <si>
    <t>Scalinduaceae</t>
  </si>
  <si>
    <t>Candidatus_Scalindua</t>
  </si>
  <si>
    <t>uncultured_Candidatus_Scalindua_sp.</t>
  </si>
  <si>
    <t>Bacillota</t>
  </si>
  <si>
    <t>Bacilli</t>
  </si>
  <si>
    <t>Bacillales</t>
  </si>
  <si>
    <t>Planococcaceae</t>
  </si>
  <si>
    <t>Planococcus</t>
  </si>
  <si>
    <t>s__unclassified_g__Planococcus</t>
  </si>
  <si>
    <t>Tistrellales</t>
  </si>
  <si>
    <t>Geminicoccaceae</t>
  </si>
  <si>
    <t>g__norank_f__Geminicoccaceae</t>
  </si>
  <si>
    <t>s__uncultured_Alphaproteobacteria_bacterium_f__Geminicoccaceae</t>
  </si>
  <si>
    <t>Chloroflexota</t>
  </si>
  <si>
    <t>Anaerolineae</t>
  </si>
  <si>
    <t>Aggregatilineales</t>
  </si>
  <si>
    <t>A4b</t>
  </si>
  <si>
    <t>g__norank_f__A4b</t>
  </si>
  <si>
    <t>s__unclassified_g__norank_f__A4b</t>
  </si>
  <si>
    <t>KD4-96</t>
  </si>
  <si>
    <t>o__norank_c__KD4-96</t>
  </si>
  <si>
    <t>f__norank_c__KD4-96</t>
  </si>
  <si>
    <t>g__norank_c__KD4-96</t>
  </si>
  <si>
    <t>s__uncultured_bacterium_c__KD4-96</t>
  </si>
  <si>
    <t>Acidobacteriota</t>
  </si>
  <si>
    <t>Thermoanaerobaculia</t>
  </si>
  <si>
    <t>Thermoanaerobaculales</t>
  </si>
  <si>
    <t>Thermoanaerobaculaceae</t>
  </si>
  <si>
    <t>Subgroup_10</t>
  </si>
  <si>
    <t>s__unclassified_g__Subgroup_10</t>
  </si>
  <si>
    <t>g__norank_f__Phycisphaeraceae</t>
  </si>
  <si>
    <t>s__uncultured_organism_f__Phycisphaeraceae</t>
  </si>
  <si>
    <t>Gemmatimonadota</t>
  </si>
  <si>
    <t>BD2-11_terrestrial_group</t>
  </si>
  <si>
    <t>o__norank_c__BD2-11_terrestrial_group</t>
  </si>
  <si>
    <t>f__norank_c__BD2-11_terrestrial_group</t>
  </si>
  <si>
    <t>g__norank_c__BD2-11_terrestrial_group</t>
  </si>
  <si>
    <t>s__unclassified_g__norank_c__BD2-11_terrestrial_group</t>
  </si>
  <si>
    <t>Bacteroidota</t>
  </si>
  <si>
    <t>Bacteroidia</t>
  </si>
  <si>
    <t>Chitinophagales</t>
  </si>
  <si>
    <t>Saprospiraceae</t>
  </si>
  <si>
    <t>Membranihabitans</t>
  </si>
  <si>
    <t>uncultured_Membranicola_sp.</t>
  </si>
  <si>
    <t>Gammaproteobacteria</t>
  </si>
  <si>
    <t>Gammaproteobacteria_</t>
  </si>
  <si>
    <t>f__norank_o__Gammaproteobacteria_</t>
  </si>
  <si>
    <t>Marinicella</t>
  </si>
  <si>
    <t>s__unclassified_g__Marinicella</t>
  </si>
  <si>
    <t>Balneolota</t>
  </si>
  <si>
    <t>Balneolia</t>
  </si>
  <si>
    <t>Balneolales</t>
  </si>
  <si>
    <t>Balneolaceae</t>
  </si>
  <si>
    <t>g__norank_f__Balneolaceae</t>
  </si>
  <si>
    <t>s__unclassified_g__norank_f__Balneolaceae</t>
  </si>
  <si>
    <t>Rickettsiales</t>
  </si>
  <si>
    <t>AB1</t>
  </si>
  <si>
    <t>g__norank_f__AB1</t>
  </si>
  <si>
    <t>s__uncultured_Alphaproteobacteria_bacterium_f__AB1</t>
  </si>
  <si>
    <t>Enterobacterales</t>
  </si>
  <si>
    <t>Kangiellaceae</t>
  </si>
  <si>
    <t>Kangiella</t>
  </si>
  <si>
    <t>Kangiella_sp._YZHG-G18</t>
  </si>
  <si>
    <t>Candidatus_Kapabacteria</t>
  </si>
  <si>
    <t>Kapabacteria</t>
  </si>
  <si>
    <t>Kapabacteriales</t>
  </si>
  <si>
    <t>f__norank_o__Kapabacteriales</t>
  </si>
  <si>
    <t>g__norank_o__Kapabacteriales</t>
  </si>
  <si>
    <t>s__uncultured_bacterium_o__Kapabacteriales</t>
  </si>
  <si>
    <t>Emcibacterales</t>
  </si>
  <si>
    <t>Emcibacteraceae</t>
  </si>
  <si>
    <t>Emcibacter</t>
  </si>
  <si>
    <t>carbazole-degrading_bacterium_OC11S</t>
  </si>
  <si>
    <t>Colwelliaceae</t>
  </si>
  <si>
    <t>Colwellia</t>
  </si>
  <si>
    <t>s__unclassified_g__Colwellia</t>
  </si>
  <si>
    <t>Idiomarinaceae</t>
  </si>
  <si>
    <t>Idiomarina</t>
  </si>
  <si>
    <t>s__unclassified_g__Idiomarina</t>
  </si>
  <si>
    <t>NB1-j</t>
  </si>
  <si>
    <t>c__norank_p__NB1-j</t>
  </si>
  <si>
    <t>o__norank_p__NB1-j</t>
  </si>
  <si>
    <t>f__norank_p__NB1-j</t>
  </si>
  <si>
    <t>g__norank_p__NB1-j</t>
  </si>
  <si>
    <t>s__unclassified_g__norank_p__NB1-j</t>
  </si>
  <si>
    <t>Flavobacteriales</t>
  </si>
  <si>
    <t>Flavobacteriaceae</t>
  </si>
  <si>
    <t>g__norank_f__Flavobacteriaceae</t>
  </si>
  <si>
    <t>s__unclassified_g__norank_f__Flavobacteriaceae</t>
  </si>
  <si>
    <t>Brucella</t>
  </si>
  <si>
    <t>s__unclassified_g__Brucella</t>
  </si>
  <si>
    <t>Nitratireductor</t>
  </si>
  <si>
    <t>s__unclassified_g__Nitratireductor</t>
  </si>
  <si>
    <t>Planococcus_sp._(in:_Bacteria)</t>
  </si>
  <si>
    <t>o__unclassified_c__Gammaproteobacteria</t>
  </si>
  <si>
    <t>f__unclassified_c__Gammaproteobacteria</t>
  </si>
  <si>
    <t>s__unclassified_c__Gammaproteobacteria</t>
  </si>
  <si>
    <t>s__unclassified_g__Membranihabitans</t>
  </si>
  <si>
    <t>Ulvibacter</t>
  </si>
  <si>
    <t>Flavobacteriaceae_bacterium_enrichment_culture_clone_DH-1659</t>
  </si>
  <si>
    <t>g__norank_f__Paracoccaceae</t>
  </si>
  <si>
    <t>s__uncultured_Rhodovulum_sp._f__Paracoccaceae</t>
  </si>
  <si>
    <t>Chloroflexia</t>
  </si>
  <si>
    <t>Thermomicrobiales</t>
  </si>
  <si>
    <t>AKYG1722</t>
  </si>
  <si>
    <t>g__norank_f__AKYG1722</t>
  </si>
  <si>
    <t>s__uncultured_Chloroflexi_bacterium_f__AKYG1722</t>
  </si>
  <si>
    <t>AT-s2-59</t>
  </si>
  <si>
    <t>f__norank_o__AT-s2-59</t>
  </si>
  <si>
    <t>g__norank_o__AT-s2-59</t>
  </si>
  <si>
    <t>s__unclassified_g__norank_o__AT-s2-59</t>
  </si>
  <si>
    <t>Actinomycetota</t>
  </si>
  <si>
    <t>Acidimicrobiia</t>
  </si>
  <si>
    <t>Microtrichales</t>
  </si>
  <si>
    <t>Microtrichaceae</t>
  </si>
  <si>
    <t>IMCC26207</t>
  </si>
  <si>
    <t>s__uncultured_actinobacterium_g__IMCC26207</t>
  </si>
  <si>
    <t>Wenzhouxiangella</t>
  </si>
  <si>
    <t>s__uncultured_bacterium_g__Wenzhouxiangella</t>
  </si>
  <si>
    <t>Burkholderiales</t>
  </si>
  <si>
    <t>Nitrosomonadaceae</t>
  </si>
  <si>
    <t>Nitrosomonas</t>
  </si>
  <si>
    <t>Nitrosomonas_mobilis</t>
  </si>
  <si>
    <t>Maribacter</t>
  </si>
  <si>
    <t>s__unclassified_g__Maribacter</t>
  </si>
  <si>
    <t>Ignavibacteriota</t>
  </si>
  <si>
    <t>Ignavibacteria</t>
  </si>
  <si>
    <t>Ignavibacteriales</t>
  </si>
  <si>
    <t>Melioribacteraceae</t>
  </si>
  <si>
    <t>IheB3-7</t>
  </si>
  <si>
    <t>s__uncultured_Chlorobi_bacterium_g__IheB3-7</t>
  </si>
  <si>
    <t>Patescibacteria</t>
  </si>
  <si>
    <t>Dojkabacteria</t>
  </si>
  <si>
    <t>o__norank_c__Dojkabacteria</t>
  </si>
  <si>
    <t>f__norank_c__Dojkabacteria</t>
  </si>
  <si>
    <t>g__norank_c__Dojkabacteria</t>
  </si>
  <si>
    <t>s__uncultured_bacterium_c__Dojkabacteria</t>
  </si>
  <si>
    <t>s__uncultured_bacterium_g__IheB3-7</t>
  </si>
  <si>
    <t>Aggregatilineaceae</t>
  </si>
  <si>
    <t>Aggregatilinea</t>
  </si>
  <si>
    <t>s__uncultured_bacterium_g__Aggregatilinea</t>
  </si>
  <si>
    <t>s__unclassified_g__Aggregatilinea</t>
  </si>
  <si>
    <t>Cryomorphaceae</t>
  </si>
  <si>
    <t>Vicingus</t>
  </si>
  <si>
    <t>s__uncultured_Owenweeksia_sp._g__Vicingus</t>
  </si>
  <si>
    <t>Pseudomonadales</t>
  </si>
  <si>
    <t>Marinobacteraceae</t>
  </si>
  <si>
    <t>Marinobacter</t>
  </si>
  <si>
    <t>s__unclassified_g__Marinobacter</t>
  </si>
  <si>
    <t>network_nodes</t>
  </si>
  <si>
    <t>metadata</t>
  </si>
  <si>
    <t>Fig. 3d</t>
  </si>
  <si>
    <t>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</si>
</sst>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9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4" tint="-0.24997711111789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DEE0E3"/>
      </left>
      <right style="medium">
        <color rgb="FFDEE0E3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2" xfId="0" applyFont="1" applyBorder="1"/>
    <xf numFmtId="0" fontId="2" fillId="0" borderId="1" xfId="0" applyFont="1" applyBorder="1"/>
    <xf numFmtId="0" fontId="5" fillId="0" borderId="0" xfId="0" applyFont="1"/>
    <xf numFmtId="0" fontId="6" fillId="0" borderId="0" xfId="0" applyFont="1"/>
    <xf numFmtId="0" fontId="1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/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7" fillId="0" borderId="2" xfId="0" applyFont="1" applyBorder="1"/>
    <xf numFmtId="0" fontId="2" fillId="0" borderId="0" xfId="0" applyFont="1"/>
    <xf numFmtId="0" fontId="8" fillId="0" borderId="0" xfId="0" applyFont="1" applyAlignment="1">
      <alignment horizontal="center"/>
    </xf>
    <xf numFmtId="11" fontId="3" fillId="0" borderId="0" xfId="0" applyNumberFormat="1" applyFont="1"/>
    <xf numFmtId="11" fontId="3" fillId="0" borderId="2" xfId="0" applyNumberFormat="1" applyFont="1" applyBorder="1"/>
    <xf numFmtId="164" fontId="6" fillId="0" borderId="0" xfId="0" applyNumberFormat="1" applyFont="1"/>
    <xf numFmtId="164" fontId="5" fillId="0" borderId="0" xfId="0" applyNumberFormat="1" applyFont="1"/>
    <xf numFmtId="164" fontId="4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0511B-B431-F446-A95F-497C15260C76}">
  <dimension ref="B2:F99"/>
  <sheetViews>
    <sheetView workbookViewId="0">
      <selection activeCell="C5" sqref="C5"/>
    </sheetView>
  </sheetViews>
  <sheetFormatPr baseColWidth="10" defaultRowHeight="16" x14ac:dyDescent="0.2"/>
  <cols>
    <col min="1" max="1" width="10.6640625" customWidth="1"/>
    <col min="2" max="2" width="9.6640625" customWidth="1"/>
  </cols>
  <sheetData>
    <row r="2" spans="2:6" x14ac:dyDescent="0.2">
      <c r="B2" s="1" t="s">
        <v>17</v>
      </c>
      <c r="C2" s="2"/>
      <c r="D2" s="2"/>
      <c r="E2" s="2"/>
      <c r="F2" s="2"/>
    </row>
    <row r="3" spans="2:6" x14ac:dyDescent="0.2">
      <c r="B3" s="4" t="s">
        <v>0</v>
      </c>
      <c r="C3" s="4" t="s">
        <v>1</v>
      </c>
      <c r="D3" s="4" t="s">
        <v>2</v>
      </c>
      <c r="E3" s="4" t="s">
        <v>3</v>
      </c>
      <c r="F3" s="4" t="s">
        <v>5</v>
      </c>
    </row>
    <row r="4" spans="2:6" x14ac:dyDescent="0.2">
      <c r="B4" s="2" t="s">
        <v>6</v>
      </c>
      <c r="C4" s="2">
        <v>14</v>
      </c>
      <c r="D4" s="2" t="s">
        <v>7</v>
      </c>
      <c r="E4" s="2" t="s">
        <v>8</v>
      </c>
      <c r="F4" s="2">
        <v>762.76290000000017</v>
      </c>
    </row>
    <row r="5" spans="2:6" x14ac:dyDescent="0.2">
      <c r="B5" s="2" t="s">
        <v>9</v>
      </c>
      <c r="C5" s="2">
        <v>14</v>
      </c>
      <c r="D5" s="2" t="s">
        <v>7</v>
      </c>
      <c r="E5" s="2" t="s">
        <v>8</v>
      </c>
      <c r="F5" s="2">
        <v>802.50720000000058</v>
      </c>
    </row>
    <row r="6" spans="2:6" x14ac:dyDescent="0.2">
      <c r="B6" s="2" t="s">
        <v>10</v>
      </c>
      <c r="C6" s="2">
        <v>14</v>
      </c>
      <c r="D6" s="2" t="s">
        <v>7</v>
      </c>
      <c r="E6" s="2" t="s">
        <v>8</v>
      </c>
      <c r="F6" s="2">
        <v>1130.9821500000003</v>
      </c>
    </row>
    <row r="7" spans="2:6" x14ac:dyDescent="0.2">
      <c r="B7" s="2" t="s">
        <v>11</v>
      </c>
      <c r="C7" s="2">
        <v>14</v>
      </c>
      <c r="D7" s="2" t="s">
        <v>12</v>
      </c>
      <c r="E7" s="2" t="s">
        <v>8</v>
      </c>
      <c r="F7" s="2">
        <v>829.39305000000081</v>
      </c>
    </row>
    <row r="8" spans="2:6" x14ac:dyDescent="0.2">
      <c r="B8" s="2" t="s">
        <v>13</v>
      </c>
      <c r="C8" s="2">
        <v>14</v>
      </c>
      <c r="D8" s="2" t="s">
        <v>12</v>
      </c>
      <c r="E8" s="2" t="s">
        <v>8</v>
      </c>
      <c r="F8" s="2">
        <v>410.90895000000063</v>
      </c>
    </row>
    <row r="9" spans="2:6" x14ac:dyDescent="0.2">
      <c r="B9" s="2" t="s">
        <v>14</v>
      </c>
      <c r="C9" s="2">
        <v>14</v>
      </c>
      <c r="D9" s="2" t="s">
        <v>12</v>
      </c>
      <c r="E9" s="2" t="s">
        <v>8</v>
      </c>
      <c r="F9" s="2">
        <v>489.22860000000048</v>
      </c>
    </row>
    <row r="10" spans="2:6" x14ac:dyDescent="0.2">
      <c r="B10" s="2" t="s">
        <v>6</v>
      </c>
      <c r="C10" s="2">
        <v>0</v>
      </c>
      <c r="D10" s="2" t="s">
        <v>7</v>
      </c>
      <c r="E10" s="2" t="s">
        <v>15</v>
      </c>
      <c r="F10" s="2">
        <v>1107.3914400000003</v>
      </c>
    </row>
    <row r="11" spans="2:6" x14ac:dyDescent="0.2">
      <c r="B11" s="2" t="s">
        <v>9</v>
      </c>
      <c r="C11" s="2">
        <v>0</v>
      </c>
      <c r="D11" s="2" t="s">
        <v>7</v>
      </c>
      <c r="E11" s="2" t="s">
        <v>15</v>
      </c>
      <c r="F11" s="2">
        <v>1113.6258400000002</v>
      </c>
    </row>
    <row r="12" spans="2:6" x14ac:dyDescent="0.2">
      <c r="B12" s="2" t="s">
        <v>10</v>
      </c>
      <c r="C12" s="2">
        <v>0</v>
      </c>
      <c r="D12" s="2" t="s">
        <v>7</v>
      </c>
      <c r="E12" s="2" t="s">
        <v>15</v>
      </c>
      <c r="F12" s="2">
        <v>1120.1719600000001</v>
      </c>
    </row>
    <row r="13" spans="2:6" x14ac:dyDescent="0.2">
      <c r="B13" s="2" t="s">
        <v>11</v>
      </c>
      <c r="C13" s="2">
        <v>0</v>
      </c>
      <c r="D13" s="2" t="s">
        <v>12</v>
      </c>
      <c r="E13" s="2" t="s">
        <v>15</v>
      </c>
      <c r="F13" s="2">
        <v>1110.8203600000004</v>
      </c>
    </row>
    <row r="14" spans="2:6" x14ac:dyDescent="0.2">
      <c r="B14" s="2" t="s">
        <v>13</v>
      </c>
      <c r="C14" s="2">
        <v>0</v>
      </c>
      <c r="D14" s="2" t="s">
        <v>12</v>
      </c>
      <c r="E14" s="2" t="s">
        <v>15</v>
      </c>
      <c r="F14" s="2">
        <v>1182.8276800000003</v>
      </c>
    </row>
    <row r="15" spans="2:6" x14ac:dyDescent="0.2">
      <c r="B15" s="2" t="s">
        <v>14</v>
      </c>
      <c r="C15" s="2">
        <v>0</v>
      </c>
      <c r="D15" s="2" t="s">
        <v>12</v>
      </c>
      <c r="E15" s="2" t="s">
        <v>15</v>
      </c>
      <c r="F15" s="2">
        <v>1169.4237200000002</v>
      </c>
    </row>
    <row r="16" spans="2:6" x14ac:dyDescent="0.2">
      <c r="B16" s="2" t="s">
        <v>6</v>
      </c>
      <c r="C16" s="2">
        <v>2</v>
      </c>
      <c r="D16" s="2" t="s">
        <v>7</v>
      </c>
      <c r="E16" s="2" t="s">
        <v>15</v>
      </c>
      <c r="F16" s="2">
        <v>1235.1966400000003</v>
      </c>
    </row>
    <row r="17" spans="2:6" x14ac:dyDescent="0.2">
      <c r="B17" s="2" t="s">
        <v>9</v>
      </c>
      <c r="C17" s="2">
        <v>2</v>
      </c>
      <c r="D17" s="2" t="s">
        <v>7</v>
      </c>
      <c r="E17" s="2" t="s">
        <v>15</v>
      </c>
      <c r="F17" s="2">
        <v>1248.6006000000002</v>
      </c>
    </row>
    <row r="18" spans="2:6" x14ac:dyDescent="0.2">
      <c r="B18" s="2" t="s">
        <v>10</v>
      </c>
      <c r="C18" s="2">
        <v>2</v>
      </c>
      <c r="D18" s="2" t="s">
        <v>7</v>
      </c>
      <c r="E18" s="2" t="s">
        <v>15</v>
      </c>
      <c r="F18" s="2">
        <v>1257.0170400000002</v>
      </c>
    </row>
    <row r="19" spans="2:6" x14ac:dyDescent="0.2">
      <c r="B19" s="2" t="s">
        <v>11</v>
      </c>
      <c r="C19" s="2">
        <v>2</v>
      </c>
      <c r="D19" s="2" t="s">
        <v>12</v>
      </c>
      <c r="E19" s="2" t="s">
        <v>15</v>
      </c>
      <c r="F19" s="2">
        <v>1286.9421600000001</v>
      </c>
    </row>
    <row r="20" spans="2:6" x14ac:dyDescent="0.2">
      <c r="B20" s="2" t="s">
        <v>13</v>
      </c>
      <c r="C20" s="2">
        <v>2</v>
      </c>
      <c r="D20" s="2" t="s">
        <v>12</v>
      </c>
      <c r="E20" s="2" t="s">
        <v>15</v>
      </c>
      <c r="F20" s="2">
        <v>1618.3005200000002</v>
      </c>
    </row>
    <row r="21" spans="2:6" x14ac:dyDescent="0.2">
      <c r="B21" s="2" t="s">
        <v>14</v>
      </c>
      <c r="C21" s="2">
        <v>2</v>
      </c>
      <c r="D21" s="2" t="s">
        <v>12</v>
      </c>
      <c r="E21" s="2" t="s">
        <v>15</v>
      </c>
      <c r="F21" s="2">
        <v>1308.45084</v>
      </c>
    </row>
    <row r="22" spans="2:6" x14ac:dyDescent="0.2">
      <c r="B22" s="2" t="s">
        <v>6</v>
      </c>
      <c r="C22" s="2">
        <v>3</v>
      </c>
      <c r="D22" s="2" t="s">
        <v>7</v>
      </c>
      <c r="E22" s="2" t="s">
        <v>15</v>
      </c>
      <c r="F22" s="2">
        <v>1436.2560400000002</v>
      </c>
    </row>
    <row r="23" spans="2:6" x14ac:dyDescent="0.2">
      <c r="B23" s="2" t="s">
        <v>9</v>
      </c>
      <c r="C23" s="2">
        <v>3</v>
      </c>
      <c r="D23" s="2" t="s">
        <v>7</v>
      </c>
      <c r="E23" s="2" t="s">
        <v>15</v>
      </c>
      <c r="F23" s="2">
        <v>1399.4730800000002</v>
      </c>
    </row>
    <row r="24" spans="2:6" x14ac:dyDescent="0.2">
      <c r="B24" s="2" t="s">
        <v>10</v>
      </c>
      <c r="C24" s="2">
        <v>3</v>
      </c>
      <c r="D24" s="2" t="s">
        <v>7</v>
      </c>
      <c r="E24" s="2" t="s">
        <v>15</v>
      </c>
      <c r="F24" s="2">
        <v>1517.9266800000005</v>
      </c>
    </row>
    <row r="25" spans="2:6" x14ac:dyDescent="0.2">
      <c r="B25" s="2" t="s">
        <v>11</v>
      </c>
      <c r="C25" s="2">
        <v>3</v>
      </c>
      <c r="D25" s="2" t="s">
        <v>12</v>
      </c>
      <c r="E25" s="2" t="s">
        <v>15</v>
      </c>
      <c r="F25" s="2">
        <v>1463.6874000000003</v>
      </c>
    </row>
    <row r="26" spans="2:6" x14ac:dyDescent="0.2">
      <c r="B26" s="2" t="s">
        <v>13</v>
      </c>
      <c r="C26" s="2">
        <v>3</v>
      </c>
      <c r="D26" s="2" t="s">
        <v>12</v>
      </c>
      <c r="E26" s="2" t="s">
        <v>15</v>
      </c>
      <c r="F26" s="2">
        <v>1407.2660800000003</v>
      </c>
    </row>
    <row r="27" spans="2:6" x14ac:dyDescent="0.2">
      <c r="B27" s="2" t="s">
        <v>14</v>
      </c>
      <c r="C27" s="2">
        <v>3</v>
      </c>
      <c r="D27" s="2" t="s">
        <v>12</v>
      </c>
      <c r="E27" s="2" t="s">
        <v>15</v>
      </c>
      <c r="F27" s="2">
        <v>1488.9367200000002</v>
      </c>
    </row>
    <row r="28" spans="2:6" x14ac:dyDescent="0.2">
      <c r="B28" s="2" t="s">
        <v>6</v>
      </c>
      <c r="C28" s="2">
        <v>4</v>
      </c>
      <c r="D28" s="2" t="s">
        <v>7</v>
      </c>
      <c r="E28" s="2" t="s">
        <v>15</v>
      </c>
      <c r="F28" s="2">
        <v>1560.0088800000003</v>
      </c>
    </row>
    <row r="29" spans="2:6" x14ac:dyDescent="0.2">
      <c r="B29" s="2" t="s">
        <v>9</v>
      </c>
      <c r="C29" s="2">
        <v>4</v>
      </c>
      <c r="D29" s="2" t="s">
        <v>7</v>
      </c>
      <c r="E29" s="2" t="s">
        <v>15</v>
      </c>
      <c r="F29" s="2">
        <v>1510.7571200000002</v>
      </c>
    </row>
    <row r="30" spans="2:6" x14ac:dyDescent="0.2">
      <c r="B30" s="2" t="s">
        <v>10</v>
      </c>
      <c r="C30" s="2">
        <v>4</v>
      </c>
      <c r="D30" s="2" t="s">
        <v>7</v>
      </c>
      <c r="E30" s="2" t="s">
        <v>15</v>
      </c>
      <c r="F30" s="2">
        <v>1513.2508800000001</v>
      </c>
    </row>
    <row r="31" spans="2:6" x14ac:dyDescent="0.2">
      <c r="B31" s="2" t="s">
        <v>11</v>
      </c>
      <c r="C31" s="2">
        <v>4</v>
      </c>
      <c r="D31" s="2" t="s">
        <v>12</v>
      </c>
      <c r="E31" s="2" t="s">
        <v>15</v>
      </c>
      <c r="F31" s="2">
        <v>1542.5525600000001</v>
      </c>
    </row>
    <row r="32" spans="2:6" x14ac:dyDescent="0.2">
      <c r="B32" s="2" t="s">
        <v>13</v>
      </c>
      <c r="C32" s="2">
        <v>4</v>
      </c>
      <c r="D32" s="2" t="s">
        <v>12</v>
      </c>
      <c r="E32" s="2" t="s">
        <v>15</v>
      </c>
      <c r="F32" s="2">
        <v>1549.7221200000004</v>
      </c>
    </row>
    <row r="33" spans="2:6" x14ac:dyDescent="0.2">
      <c r="B33" s="2" t="s">
        <v>14</v>
      </c>
      <c r="C33" s="2">
        <v>4</v>
      </c>
      <c r="D33" s="2" t="s">
        <v>12</v>
      </c>
      <c r="E33" s="2" t="s">
        <v>15</v>
      </c>
      <c r="F33" s="2">
        <v>1554.3979200000003</v>
      </c>
    </row>
    <row r="34" spans="2:6" x14ac:dyDescent="0.2">
      <c r="B34" s="2" t="s">
        <v>6</v>
      </c>
      <c r="C34" s="2">
        <v>5</v>
      </c>
      <c r="D34" s="2" t="s">
        <v>7</v>
      </c>
      <c r="E34" s="2" t="s">
        <v>15</v>
      </c>
      <c r="F34" s="2">
        <v>1640.7443600000006</v>
      </c>
    </row>
    <row r="35" spans="2:6" x14ac:dyDescent="0.2">
      <c r="B35" s="2" t="s">
        <v>9</v>
      </c>
      <c r="C35" s="2">
        <v>5</v>
      </c>
      <c r="D35" s="2" t="s">
        <v>7</v>
      </c>
      <c r="E35" s="2" t="s">
        <v>15</v>
      </c>
      <c r="F35" s="2">
        <v>1512.3157200000001</v>
      </c>
    </row>
    <row r="36" spans="2:6" x14ac:dyDescent="0.2">
      <c r="B36" s="2" t="s">
        <v>10</v>
      </c>
      <c r="C36" s="2">
        <v>5</v>
      </c>
      <c r="D36" s="2" t="s">
        <v>7</v>
      </c>
      <c r="E36" s="2" t="s">
        <v>15</v>
      </c>
      <c r="F36" s="2">
        <v>1602.0910800000001</v>
      </c>
    </row>
    <row r="37" spans="2:6" x14ac:dyDescent="0.2">
      <c r="B37" s="2" t="s">
        <v>11</v>
      </c>
      <c r="C37" s="2">
        <v>5</v>
      </c>
      <c r="D37" s="2" t="s">
        <v>12</v>
      </c>
      <c r="E37" s="2" t="s">
        <v>15</v>
      </c>
      <c r="F37" s="2">
        <v>1581.5175600000002</v>
      </c>
    </row>
    <row r="38" spans="2:6" x14ac:dyDescent="0.2">
      <c r="B38" s="2" t="s">
        <v>13</v>
      </c>
      <c r="C38" s="2">
        <v>5</v>
      </c>
      <c r="D38" s="2" t="s">
        <v>12</v>
      </c>
      <c r="E38" s="2" t="s">
        <v>15</v>
      </c>
      <c r="F38" s="2">
        <v>1629.8341600000003</v>
      </c>
    </row>
    <row r="39" spans="2:6" x14ac:dyDescent="0.2">
      <c r="B39" s="2" t="s">
        <v>14</v>
      </c>
      <c r="C39" s="2">
        <v>5</v>
      </c>
      <c r="D39" s="2" t="s">
        <v>12</v>
      </c>
      <c r="E39" s="2" t="s">
        <v>15</v>
      </c>
      <c r="F39" s="2">
        <v>1582.1410000000001</v>
      </c>
    </row>
    <row r="40" spans="2:6" x14ac:dyDescent="0.2">
      <c r="B40" s="2" t="s">
        <v>6</v>
      </c>
      <c r="C40" s="2">
        <v>6</v>
      </c>
      <c r="D40" s="2" t="s">
        <v>7</v>
      </c>
      <c r="E40" s="2" t="s">
        <v>15</v>
      </c>
      <c r="F40" s="2">
        <v>1738.62444</v>
      </c>
    </row>
    <row r="41" spans="2:6" x14ac:dyDescent="0.2">
      <c r="B41" s="2" t="s">
        <v>9</v>
      </c>
      <c r="C41" s="2">
        <v>6</v>
      </c>
      <c r="D41" s="2" t="s">
        <v>7</v>
      </c>
      <c r="E41" s="2" t="s">
        <v>15</v>
      </c>
      <c r="F41" s="2">
        <v>1648.8490800000004</v>
      </c>
    </row>
    <row r="42" spans="2:6" x14ac:dyDescent="0.2">
      <c r="B42" s="2" t="s">
        <v>10</v>
      </c>
      <c r="C42" s="2">
        <v>6</v>
      </c>
      <c r="D42" s="2" t="s">
        <v>7</v>
      </c>
      <c r="E42" s="2" t="s">
        <v>15</v>
      </c>
      <c r="F42" s="2">
        <v>1651.6545599999999</v>
      </c>
    </row>
    <row r="43" spans="2:6" x14ac:dyDescent="0.2">
      <c r="B43" s="2" t="s">
        <v>11</v>
      </c>
      <c r="C43" s="2">
        <v>6</v>
      </c>
      <c r="D43" s="2" t="s">
        <v>12</v>
      </c>
      <c r="E43" s="2" t="s">
        <v>15</v>
      </c>
      <c r="F43" s="2">
        <v>1658.5124000000001</v>
      </c>
    </row>
    <row r="44" spans="2:6" x14ac:dyDescent="0.2">
      <c r="B44" s="2" t="s">
        <v>13</v>
      </c>
      <c r="C44" s="2">
        <v>6</v>
      </c>
      <c r="D44" s="2" t="s">
        <v>12</v>
      </c>
      <c r="E44" s="2" t="s">
        <v>15</v>
      </c>
      <c r="F44" s="2">
        <v>1657.88896</v>
      </c>
    </row>
    <row r="45" spans="2:6" x14ac:dyDescent="0.2">
      <c r="B45" s="2" t="s">
        <v>14</v>
      </c>
      <c r="C45" s="2">
        <v>6</v>
      </c>
      <c r="D45" s="2" t="s">
        <v>12</v>
      </c>
      <c r="E45" s="2" t="s">
        <v>15</v>
      </c>
      <c r="F45" s="2">
        <v>1622.0411600000002</v>
      </c>
    </row>
    <row r="46" spans="2:6" x14ac:dyDescent="0.2">
      <c r="B46" s="2" t="s">
        <v>6</v>
      </c>
      <c r="C46" s="2">
        <v>9</v>
      </c>
      <c r="D46" s="2" t="s">
        <v>7</v>
      </c>
      <c r="E46" s="2" t="s">
        <v>15</v>
      </c>
      <c r="F46" s="2">
        <v>1825.9060400000003</v>
      </c>
    </row>
    <row r="47" spans="2:6" x14ac:dyDescent="0.2">
      <c r="B47" s="2" t="s">
        <v>9</v>
      </c>
      <c r="C47" s="2">
        <v>9</v>
      </c>
      <c r="D47" s="2" t="s">
        <v>7</v>
      </c>
      <c r="E47" s="2" t="s">
        <v>15</v>
      </c>
      <c r="F47" s="2">
        <v>1670.66948</v>
      </c>
    </row>
    <row r="48" spans="2:6" x14ac:dyDescent="0.2">
      <c r="B48" s="2" t="s">
        <v>10</v>
      </c>
      <c r="C48" s="2">
        <v>9</v>
      </c>
      <c r="D48" s="2" t="s">
        <v>7</v>
      </c>
      <c r="E48" s="2" t="s">
        <v>15</v>
      </c>
      <c r="F48" s="2">
        <v>1706.2055600000003</v>
      </c>
    </row>
    <row r="49" spans="2:6" x14ac:dyDescent="0.2">
      <c r="B49" s="2" t="s">
        <v>11</v>
      </c>
      <c r="C49" s="2">
        <v>9</v>
      </c>
      <c r="D49" s="2" t="s">
        <v>12</v>
      </c>
      <c r="E49" s="2" t="s">
        <v>15</v>
      </c>
      <c r="F49" s="2">
        <v>1629.5224400000002</v>
      </c>
    </row>
    <row r="50" spans="2:6" x14ac:dyDescent="0.2">
      <c r="B50" s="2" t="s">
        <v>13</v>
      </c>
      <c r="C50" s="2">
        <v>9</v>
      </c>
      <c r="D50" s="2" t="s">
        <v>12</v>
      </c>
      <c r="E50" s="2" t="s">
        <v>15</v>
      </c>
      <c r="F50" s="2">
        <v>1665.99368</v>
      </c>
    </row>
    <row r="51" spans="2:6" x14ac:dyDescent="0.2">
      <c r="B51" s="2" t="s">
        <v>14</v>
      </c>
      <c r="C51" s="2">
        <v>9</v>
      </c>
      <c r="D51" s="2" t="s">
        <v>12</v>
      </c>
      <c r="E51" s="2" t="s">
        <v>15</v>
      </c>
      <c r="F51" s="2">
        <v>1741.1182000000003</v>
      </c>
    </row>
    <row r="52" spans="2:6" x14ac:dyDescent="0.2">
      <c r="B52" s="2" t="s">
        <v>6</v>
      </c>
      <c r="C52" s="2">
        <v>14</v>
      </c>
      <c r="D52" s="2" t="s">
        <v>7</v>
      </c>
      <c r="E52" s="2" t="s">
        <v>15</v>
      </c>
      <c r="F52" s="2">
        <v>1846.7912799999999</v>
      </c>
    </row>
    <row r="53" spans="2:6" x14ac:dyDescent="0.2">
      <c r="B53" s="2" t="s">
        <v>9</v>
      </c>
      <c r="C53" s="2">
        <v>14</v>
      </c>
      <c r="D53" s="2" t="s">
        <v>7</v>
      </c>
      <c r="E53" s="2" t="s">
        <v>15</v>
      </c>
      <c r="F53" s="2">
        <v>1209.0121600000002</v>
      </c>
    </row>
    <row r="54" spans="2:6" x14ac:dyDescent="0.2">
      <c r="B54" s="2" t="s">
        <v>10</v>
      </c>
      <c r="C54" s="2">
        <v>14</v>
      </c>
      <c r="D54" s="2" t="s">
        <v>7</v>
      </c>
      <c r="E54" s="2" t="s">
        <v>15</v>
      </c>
      <c r="F54" s="2">
        <v>1315.3086800000001</v>
      </c>
    </row>
    <row r="55" spans="2:6" x14ac:dyDescent="0.2">
      <c r="B55" s="2" t="s">
        <v>11</v>
      </c>
      <c r="C55" s="2">
        <v>14</v>
      </c>
      <c r="D55" s="2" t="s">
        <v>12</v>
      </c>
      <c r="E55" s="2" t="s">
        <v>15</v>
      </c>
      <c r="F55" s="2">
        <v>1748.2877600000002</v>
      </c>
    </row>
    <row r="56" spans="2:6" x14ac:dyDescent="0.2">
      <c r="B56" s="2" t="s">
        <v>13</v>
      </c>
      <c r="C56" s="2">
        <v>14</v>
      </c>
      <c r="D56" s="2" t="s">
        <v>12</v>
      </c>
      <c r="E56" s="2" t="s">
        <v>15</v>
      </c>
      <c r="F56" s="2">
        <v>1697.7891199999999</v>
      </c>
    </row>
    <row r="57" spans="2:6" x14ac:dyDescent="0.2">
      <c r="B57" s="2" t="s">
        <v>14</v>
      </c>
      <c r="C57" s="2">
        <v>14</v>
      </c>
      <c r="D57" s="2" t="s">
        <v>12</v>
      </c>
      <c r="E57" s="2" t="s">
        <v>15</v>
      </c>
      <c r="F57" s="2">
        <v>1552.5276000000003</v>
      </c>
    </row>
    <row r="58" spans="2:6" x14ac:dyDescent="0.2">
      <c r="B58" s="2" t="s">
        <v>6</v>
      </c>
      <c r="C58" s="2">
        <v>19</v>
      </c>
      <c r="D58" s="2" t="s">
        <v>7</v>
      </c>
      <c r="E58" s="2" t="s">
        <v>15</v>
      </c>
      <c r="F58" s="2">
        <v>1724.5970400000001</v>
      </c>
    </row>
    <row r="59" spans="2:6" x14ac:dyDescent="0.2">
      <c r="B59" s="2" t="s">
        <v>9</v>
      </c>
      <c r="C59" s="2">
        <v>19</v>
      </c>
      <c r="D59" s="2" t="s">
        <v>7</v>
      </c>
      <c r="E59" s="2" t="s">
        <v>15</v>
      </c>
      <c r="F59" s="2">
        <v>1676.5921600000001</v>
      </c>
    </row>
    <row r="60" spans="2:6" x14ac:dyDescent="0.2">
      <c r="B60" s="2" t="s">
        <v>10</v>
      </c>
      <c r="C60" s="2">
        <v>19</v>
      </c>
      <c r="D60" s="2" t="s">
        <v>7</v>
      </c>
      <c r="E60" s="2" t="s">
        <v>15</v>
      </c>
      <c r="F60" s="2">
        <v>1128.5884000000001</v>
      </c>
    </row>
    <row r="61" spans="2:6" x14ac:dyDescent="0.2">
      <c r="B61" s="2" t="s">
        <v>11</v>
      </c>
      <c r="C61" s="2">
        <v>19</v>
      </c>
      <c r="D61" s="2" t="s">
        <v>12</v>
      </c>
      <c r="E61" s="2" t="s">
        <v>15</v>
      </c>
      <c r="F61" s="2">
        <v>1177.2167200000004</v>
      </c>
    </row>
    <row r="62" spans="2:6" x14ac:dyDescent="0.2">
      <c r="B62" s="2" t="s">
        <v>13</v>
      </c>
      <c r="C62" s="2">
        <v>19</v>
      </c>
      <c r="D62" s="2" t="s">
        <v>12</v>
      </c>
      <c r="E62" s="2" t="s">
        <v>15</v>
      </c>
      <c r="F62" s="2">
        <v>730.21024000000034</v>
      </c>
    </row>
    <row r="63" spans="2:6" x14ac:dyDescent="0.2">
      <c r="B63" s="2" t="s">
        <v>14</v>
      </c>
      <c r="C63" s="2">
        <v>19</v>
      </c>
      <c r="D63" s="2" t="s">
        <v>12</v>
      </c>
      <c r="E63" s="2" t="s">
        <v>15</v>
      </c>
      <c r="F63" s="2">
        <v>817.18012000000022</v>
      </c>
    </row>
    <row r="64" spans="2:6" x14ac:dyDescent="0.2">
      <c r="B64" s="2" t="s">
        <v>6</v>
      </c>
      <c r="C64" s="2">
        <v>23</v>
      </c>
      <c r="D64" s="2" t="s">
        <v>7</v>
      </c>
      <c r="E64" s="2" t="s">
        <v>15</v>
      </c>
      <c r="F64" s="2">
        <v>747.66656000000035</v>
      </c>
    </row>
    <row r="65" spans="2:6" x14ac:dyDescent="0.2">
      <c r="B65" s="2" t="s">
        <v>9</v>
      </c>
      <c r="C65" s="2">
        <v>23</v>
      </c>
      <c r="D65" s="2" t="s">
        <v>7</v>
      </c>
      <c r="E65" s="2" t="s">
        <v>15</v>
      </c>
      <c r="F65" s="2">
        <v>670.04827999999998</v>
      </c>
    </row>
    <row r="66" spans="2:6" x14ac:dyDescent="0.2">
      <c r="B66" s="2" t="s">
        <v>10</v>
      </c>
      <c r="C66" s="2">
        <v>23</v>
      </c>
      <c r="D66" s="2" t="s">
        <v>7</v>
      </c>
      <c r="E66" s="2" t="s">
        <v>15</v>
      </c>
      <c r="F66" s="2">
        <v>626.09576000000015</v>
      </c>
    </row>
    <row r="67" spans="2:6" x14ac:dyDescent="0.2">
      <c r="B67" s="2" t="s">
        <v>11</v>
      </c>
      <c r="C67" s="2">
        <v>23</v>
      </c>
      <c r="D67" s="2" t="s">
        <v>12</v>
      </c>
      <c r="E67" s="2" t="s">
        <v>15</v>
      </c>
      <c r="F67" s="2">
        <v>-94.912599999999884</v>
      </c>
    </row>
    <row r="68" spans="2:6" x14ac:dyDescent="0.2">
      <c r="B68" s="2" t="s">
        <v>13</v>
      </c>
      <c r="C68" s="2">
        <v>23</v>
      </c>
      <c r="D68" s="2" t="s">
        <v>12</v>
      </c>
      <c r="E68" s="2" t="s">
        <v>15</v>
      </c>
      <c r="F68" s="2">
        <v>-95.847759999999994</v>
      </c>
    </row>
    <row r="69" spans="2:6" x14ac:dyDescent="0.2">
      <c r="B69" s="2" t="s">
        <v>14</v>
      </c>
      <c r="C69" s="2">
        <v>23</v>
      </c>
      <c r="D69" s="2" t="s">
        <v>12</v>
      </c>
      <c r="E69" s="2" t="s">
        <v>15</v>
      </c>
      <c r="F69" s="2">
        <v>84.326400000000149</v>
      </c>
    </row>
    <row r="70" spans="2:6" x14ac:dyDescent="0.2">
      <c r="B70" s="2" t="s">
        <v>6</v>
      </c>
      <c r="C70" s="2">
        <v>0</v>
      </c>
      <c r="D70" s="2" t="s">
        <v>7</v>
      </c>
      <c r="E70" s="2" t="s">
        <v>16</v>
      </c>
      <c r="F70" s="2">
        <v>1454.0240800000001</v>
      </c>
    </row>
    <row r="71" spans="2:6" x14ac:dyDescent="0.2">
      <c r="B71" s="2" t="s">
        <v>9</v>
      </c>
      <c r="C71" s="2">
        <v>0</v>
      </c>
      <c r="D71" s="2" t="s">
        <v>7</v>
      </c>
      <c r="E71" s="2" t="s">
        <v>16</v>
      </c>
      <c r="F71" s="2">
        <v>1407.5778000000005</v>
      </c>
    </row>
    <row r="72" spans="2:6" x14ac:dyDescent="0.2">
      <c r="B72" s="2" t="s">
        <v>10</v>
      </c>
      <c r="C72" s="2">
        <v>0</v>
      </c>
      <c r="D72" s="2" t="s">
        <v>7</v>
      </c>
      <c r="E72" s="2" t="s">
        <v>16</v>
      </c>
      <c r="F72" s="2">
        <v>1362.3784000000001</v>
      </c>
    </row>
    <row r="73" spans="2:6" x14ac:dyDescent="0.2">
      <c r="B73" s="2" t="s">
        <v>11</v>
      </c>
      <c r="C73" s="2">
        <v>0</v>
      </c>
      <c r="D73" s="2" t="s">
        <v>12</v>
      </c>
      <c r="E73" s="2" t="s">
        <v>16</v>
      </c>
      <c r="F73" s="2">
        <v>1376.7175200000001</v>
      </c>
    </row>
    <row r="74" spans="2:6" x14ac:dyDescent="0.2">
      <c r="B74" s="2" t="s">
        <v>13</v>
      </c>
      <c r="C74" s="2">
        <v>0</v>
      </c>
      <c r="D74" s="2" t="s">
        <v>12</v>
      </c>
      <c r="E74" s="2" t="s">
        <v>16</v>
      </c>
      <c r="F74" s="2">
        <v>1495.7945600000003</v>
      </c>
    </row>
    <row r="75" spans="2:6" x14ac:dyDescent="0.2">
      <c r="B75" s="2" t="s">
        <v>14</v>
      </c>
      <c r="C75" s="2">
        <v>0</v>
      </c>
      <c r="D75" s="2" t="s">
        <v>12</v>
      </c>
      <c r="E75" s="2" t="s">
        <v>16</v>
      </c>
      <c r="F75" s="2">
        <v>1519.4852800000003</v>
      </c>
    </row>
    <row r="76" spans="2:6" x14ac:dyDescent="0.2">
      <c r="B76" s="2" t="s">
        <v>6</v>
      </c>
      <c r="C76" s="2">
        <v>10</v>
      </c>
      <c r="D76" s="2" t="s">
        <v>7</v>
      </c>
      <c r="E76" s="2" t="s">
        <v>16</v>
      </c>
      <c r="F76" s="2">
        <v>1315.3086800000001</v>
      </c>
    </row>
    <row r="77" spans="2:6" x14ac:dyDescent="0.2">
      <c r="B77" s="2" t="s">
        <v>9</v>
      </c>
      <c r="C77" s="2">
        <v>10</v>
      </c>
      <c r="D77" s="2" t="s">
        <v>7</v>
      </c>
      <c r="E77" s="2" t="s">
        <v>16</v>
      </c>
      <c r="F77" s="2">
        <v>1372.9768800000002</v>
      </c>
    </row>
    <row r="78" spans="2:6" x14ac:dyDescent="0.2">
      <c r="B78" s="2" t="s">
        <v>10</v>
      </c>
      <c r="C78" s="2">
        <v>10</v>
      </c>
      <c r="D78" s="2" t="s">
        <v>7</v>
      </c>
      <c r="E78" s="2" t="s">
        <v>16</v>
      </c>
      <c r="F78" s="2">
        <v>1367.6776400000003</v>
      </c>
    </row>
    <row r="79" spans="2:6" x14ac:dyDescent="0.2">
      <c r="B79" s="2" t="s">
        <v>11</v>
      </c>
      <c r="C79" s="2">
        <v>10</v>
      </c>
      <c r="D79" s="2" t="s">
        <v>12</v>
      </c>
      <c r="E79" s="2" t="s">
        <v>16</v>
      </c>
      <c r="F79" s="2">
        <v>921.29460000000017</v>
      </c>
    </row>
    <row r="80" spans="2:6" x14ac:dyDescent="0.2">
      <c r="B80" s="2" t="s">
        <v>13</v>
      </c>
      <c r="C80" s="2">
        <v>10</v>
      </c>
      <c r="D80" s="2" t="s">
        <v>12</v>
      </c>
      <c r="E80" s="2" t="s">
        <v>16</v>
      </c>
      <c r="F80" s="2">
        <v>1276.0319600000003</v>
      </c>
    </row>
    <row r="81" spans="2:6" x14ac:dyDescent="0.2">
      <c r="B81" s="2" t="s">
        <v>14</v>
      </c>
      <c r="C81" s="2">
        <v>10</v>
      </c>
      <c r="D81" s="2" t="s">
        <v>12</v>
      </c>
      <c r="E81" s="2" t="s">
        <v>16</v>
      </c>
      <c r="F81" s="2">
        <v>995.48396000000025</v>
      </c>
    </row>
    <row r="82" spans="2:6" x14ac:dyDescent="0.2">
      <c r="B82" s="2" t="s">
        <v>6</v>
      </c>
      <c r="C82" s="2">
        <v>16</v>
      </c>
      <c r="D82" s="2" t="s">
        <v>7</v>
      </c>
      <c r="E82" s="2" t="s">
        <v>16</v>
      </c>
      <c r="F82" s="2">
        <v>1265.7452000000003</v>
      </c>
    </row>
    <row r="83" spans="2:6" x14ac:dyDescent="0.2">
      <c r="B83" s="2" t="s">
        <v>9</v>
      </c>
      <c r="C83" s="2">
        <v>16</v>
      </c>
      <c r="D83" s="2" t="s">
        <v>7</v>
      </c>
      <c r="E83" s="2" t="s">
        <v>16</v>
      </c>
      <c r="F83" s="2">
        <v>659.4498000000001</v>
      </c>
    </row>
    <row r="84" spans="2:6" x14ac:dyDescent="0.2">
      <c r="B84" s="2" t="s">
        <v>10</v>
      </c>
      <c r="C84" s="2">
        <v>16</v>
      </c>
      <c r="D84" s="2" t="s">
        <v>7</v>
      </c>
      <c r="E84" s="2" t="s">
        <v>16</v>
      </c>
      <c r="F84" s="2">
        <v>748.91344000000004</v>
      </c>
    </row>
    <row r="85" spans="2:6" x14ac:dyDescent="0.2">
      <c r="B85" s="2" t="s">
        <v>11</v>
      </c>
      <c r="C85" s="2">
        <v>16</v>
      </c>
      <c r="D85" s="2" t="s">
        <v>12</v>
      </c>
      <c r="E85" s="2" t="s">
        <v>16</v>
      </c>
      <c r="F85" s="2">
        <v>522.60472000000004</v>
      </c>
    </row>
    <row r="86" spans="2:6" x14ac:dyDescent="0.2">
      <c r="B86" s="2" t="s">
        <v>13</v>
      </c>
      <c r="C86" s="2">
        <v>16</v>
      </c>
      <c r="D86" s="2" t="s">
        <v>12</v>
      </c>
      <c r="E86" s="2" t="s">
        <v>16</v>
      </c>
      <c r="F86" s="2">
        <v>818.73872000000028</v>
      </c>
    </row>
    <row r="87" spans="2:6" x14ac:dyDescent="0.2">
      <c r="B87" s="2" t="s">
        <v>14</v>
      </c>
      <c r="C87" s="2">
        <v>16</v>
      </c>
      <c r="D87" s="2" t="s">
        <v>12</v>
      </c>
      <c r="E87" s="2" t="s">
        <v>16</v>
      </c>
      <c r="F87" s="2">
        <v>421.91916000000015</v>
      </c>
    </row>
    <row r="88" spans="2:6" x14ac:dyDescent="0.2">
      <c r="B88" s="2" t="s">
        <v>6</v>
      </c>
      <c r="C88" s="2">
        <v>21</v>
      </c>
      <c r="D88" s="2" t="s">
        <v>7</v>
      </c>
      <c r="E88" s="2" t="s">
        <v>16</v>
      </c>
      <c r="F88" s="2">
        <v>1225.8450400000002</v>
      </c>
    </row>
    <row r="89" spans="2:6" x14ac:dyDescent="0.2">
      <c r="B89" s="2" t="s">
        <v>9</v>
      </c>
      <c r="C89" s="2">
        <v>21</v>
      </c>
      <c r="D89" s="2" t="s">
        <v>7</v>
      </c>
      <c r="E89" s="2" t="s">
        <v>16</v>
      </c>
      <c r="F89" s="2">
        <v>539.74932000000035</v>
      </c>
    </row>
    <row r="90" spans="2:6" x14ac:dyDescent="0.2">
      <c r="B90" s="2" t="s">
        <v>10</v>
      </c>
      <c r="C90" s="2">
        <v>21</v>
      </c>
      <c r="D90" s="2" t="s">
        <v>7</v>
      </c>
      <c r="E90" s="2" t="s">
        <v>16</v>
      </c>
      <c r="F90" s="2">
        <v>449.03880000000026</v>
      </c>
    </row>
    <row r="91" spans="2:6" x14ac:dyDescent="0.2">
      <c r="B91" s="2" t="s">
        <v>11</v>
      </c>
      <c r="C91" s="2">
        <v>21</v>
      </c>
      <c r="D91" s="2" t="s">
        <v>12</v>
      </c>
      <c r="E91" s="2" t="s">
        <v>16</v>
      </c>
      <c r="F91" s="2">
        <v>420.67228</v>
      </c>
    </row>
    <row r="92" spans="2:6" x14ac:dyDescent="0.2">
      <c r="B92" s="2" t="s">
        <v>13</v>
      </c>
      <c r="C92" s="2">
        <v>21</v>
      </c>
      <c r="D92" s="2" t="s">
        <v>12</v>
      </c>
      <c r="E92" s="2" t="s">
        <v>16</v>
      </c>
      <c r="F92" s="2">
        <v>397.91672000000017</v>
      </c>
    </row>
    <row r="93" spans="2:6" x14ac:dyDescent="0.2">
      <c r="B93" s="2" t="s">
        <v>14</v>
      </c>
      <c r="C93" s="2">
        <v>21</v>
      </c>
      <c r="D93" s="2" t="s">
        <v>12</v>
      </c>
      <c r="E93" s="2" t="s">
        <v>16</v>
      </c>
      <c r="F93" s="2">
        <v>86.508440000000064</v>
      </c>
    </row>
    <row r="94" spans="2:6" x14ac:dyDescent="0.2">
      <c r="B94" s="2" t="s">
        <v>6</v>
      </c>
      <c r="C94" s="2">
        <v>22</v>
      </c>
      <c r="D94" s="2" t="s">
        <v>7</v>
      </c>
      <c r="E94" s="2" t="s">
        <v>16</v>
      </c>
      <c r="F94" s="2">
        <v>1319.3610400000002</v>
      </c>
    </row>
    <row r="95" spans="2:6" x14ac:dyDescent="0.2">
      <c r="B95" s="2" t="s">
        <v>9</v>
      </c>
      <c r="C95" s="2">
        <v>22</v>
      </c>
      <c r="D95" s="2" t="s">
        <v>7</v>
      </c>
      <c r="E95" s="2" t="s">
        <v>16</v>
      </c>
      <c r="F95" s="2">
        <v>700.90856000000008</v>
      </c>
    </row>
    <row r="96" spans="2:6" x14ac:dyDescent="0.2">
      <c r="B96" s="2" t="s">
        <v>10</v>
      </c>
      <c r="C96" s="2">
        <v>22</v>
      </c>
      <c r="D96" s="2" t="s">
        <v>7</v>
      </c>
      <c r="E96" s="2" t="s">
        <v>16</v>
      </c>
      <c r="F96" s="2">
        <v>535.07352000000014</v>
      </c>
    </row>
    <row r="97" spans="2:6" x14ac:dyDescent="0.2">
      <c r="B97" s="2" t="s">
        <v>11</v>
      </c>
      <c r="C97" s="2">
        <v>22</v>
      </c>
      <c r="D97" s="2" t="s">
        <v>12</v>
      </c>
      <c r="E97" s="2" t="s">
        <v>16</v>
      </c>
      <c r="F97" s="2">
        <v>420.67228</v>
      </c>
    </row>
    <row r="98" spans="2:6" x14ac:dyDescent="0.2">
      <c r="B98" s="2" t="s">
        <v>13</v>
      </c>
      <c r="C98" s="2">
        <v>22</v>
      </c>
      <c r="D98" s="2" t="s">
        <v>12</v>
      </c>
      <c r="E98" s="2" t="s">
        <v>16</v>
      </c>
      <c r="F98" s="2">
        <v>447.4802000000002</v>
      </c>
    </row>
    <row r="99" spans="2:6" x14ac:dyDescent="0.2">
      <c r="B99" s="3" t="s">
        <v>14</v>
      </c>
      <c r="C99" s="3">
        <v>22</v>
      </c>
      <c r="D99" s="3" t="s">
        <v>12</v>
      </c>
      <c r="E99" s="3" t="s">
        <v>16</v>
      </c>
      <c r="F99" s="3">
        <v>86.508440000000064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49512-76C1-4D42-BC1F-DE3E05AE2F8F}">
  <dimension ref="B2:G21"/>
  <sheetViews>
    <sheetView workbookViewId="0">
      <selection activeCell="B2" sqref="B2"/>
    </sheetView>
  </sheetViews>
  <sheetFormatPr baseColWidth="10" defaultRowHeight="16" x14ac:dyDescent="0.2"/>
  <cols>
    <col min="5" max="5" width="15.33203125" customWidth="1"/>
  </cols>
  <sheetData>
    <row r="2" spans="2:7" x14ac:dyDescent="0.2">
      <c r="B2" s="1" t="s">
        <v>95</v>
      </c>
    </row>
    <row r="3" spans="2:7" x14ac:dyDescent="0.2">
      <c r="B3" s="4" t="s">
        <v>0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18</v>
      </c>
    </row>
    <row r="4" spans="2:7" x14ac:dyDescent="0.2">
      <c r="B4" s="2" t="s">
        <v>19</v>
      </c>
      <c r="C4" s="2" t="s">
        <v>7</v>
      </c>
      <c r="D4" s="2" t="s">
        <v>20</v>
      </c>
      <c r="E4" s="2">
        <v>172.81529499999999</v>
      </c>
      <c r="F4" s="2">
        <v>762.76289999999995</v>
      </c>
      <c r="G4" s="2">
        <v>172.81529499999999</v>
      </c>
    </row>
    <row r="5" spans="2:7" x14ac:dyDescent="0.2">
      <c r="B5" s="2" t="s">
        <v>9</v>
      </c>
      <c r="C5" s="2" t="s">
        <v>7</v>
      </c>
      <c r="D5" s="2" t="s">
        <v>20</v>
      </c>
      <c r="E5" s="2">
        <v>151.26764999999997</v>
      </c>
      <c r="F5" s="2">
        <v>802.50720000000001</v>
      </c>
      <c r="G5" s="2">
        <v>151.26764999999997</v>
      </c>
    </row>
    <row r="6" spans="2:7" x14ac:dyDescent="0.2">
      <c r="B6" s="2" t="s">
        <v>10</v>
      </c>
      <c r="C6" s="2" t="s">
        <v>7</v>
      </c>
      <c r="D6" s="2" t="s">
        <v>20</v>
      </c>
      <c r="E6" s="2">
        <v>57.849062499999945</v>
      </c>
      <c r="F6" s="2">
        <v>1130.98215</v>
      </c>
      <c r="G6" s="2">
        <v>57.849062499999945</v>
      </c>
    </row>
    <row r="7" spans="2:7" x14ac:dyDescent="0.2">
      <c r="B7" s="2" t="s">
        <v>11</v>
      </c>
      <c r="C7" s="2" t="s">
        <v>12</v>
      </c>
      <c r="D7" s="2" t="s">
        <v>20</v>
      </c>
      <c r="E7" s="2">
        <v>136.83111749999983</v>
      </c>
      <c r="F7" s="2">
        <v>829.39305000000002</v>
      </c>
      <c r="G7" s="2">
        <v>136.83111749999983</v>
      </c>
    </row>
    <row r="8" spans="2:7" x14ac:dyDescent="0.2">
      <c r="B8" s="2" t="s">
        <v>13</v>
      </c>
      <c r="C8" s="2" t="s">
        <v>12</v>
      </c>
      <c r="D8" s="2" t="s">
        <v>20</v>
      </c>
      <c r="E8" s="2">
        <v>271.2214024999999</v>
      </c>
      <c r="F8" s="2">
        <v>410.90895</v>
      </c>
      <c r="G8" s="2">
        <v>271.2214024999999</v>
      </c>
    </row>
    <row r="9" spans="2:7" x14ac:dyDescent="0.2">
      <c r="B9" s="2" t="s">
        <v>14</v>
      </c>
      <c r="C9" s="2" t="s">
        <v>12</v>
      </c>
      <c r="D9" s="2" t="s">
        <v>20</v>
      </c>
      <c r="E9" s="2">
        <v>257.56416999999999</v>
      </c>
      <c r="F9" s="2">
        <v>489.22859999999997</v>
      </c>
      <c r="G9" s="2">
        <v>257.56416999999999</v>
      </c>
    </row>
    <row r="10" spans="2:7" x14ac:dyDescent="0.2">
      <c r="B10" s="2" t="s">
        <v>21</v>
      </c>
      <c r="C10" s="2" t="s">
        <v>7</v>
      </c>
      <c r="D10" s="2" t="s">
        <v>22</v>
      </c>
      <c r="E10" s="2">
        <v>24.438847999999961</v>
      </c>
      <c r="F10" s="2">
        <v>1724.5970400000001</v>
      </c>
      <c r="G10" s="2">
        <v>24.438847999999961</v>
      </c>
    </row>
    <row r="11" spans="2:7" x14ac:dyDescent="0.2">
      <c r="B11" s="2" t="s">
        <v>9</v>
      </c>
      <c r="C11" s="2" t="s">
        <v>7</v>
      </c>
      <c r="D11" s="2" t="s">
        <v>22</v>
      </c>
      <c r="E11" s="2">
        <v>-93.515999999999991</v>
      </c>
      <c r="F11" s="2">
        <v>1676.5921599999999</v>
      </c>
      <c r="G11" s="2">
        <v>-93.515999999999991</v>
      </c>
    </row>
    <row r="12" spans="2:7" x14ac:dyDescent="0.2">
      <c r="B12" s="2" t="s">
        <v>10</v>
      </c>
      <c r="C12" s="2" t="s">
        <v>7</v>
      </c>
      <c r="D12" s="2" t="s">
        <v>22</v>
      </c>
      <c r="E12" s="2">
        <v>37.344056000000002</v>
      </c>
      <c r="F12" s="2">
        <v>1128.5884000000001</v>
      </c>
      <c r="G12" s="2">
        <v>37.344056000000002</v>
      </c>
    </row>
    <row r="13" spans="2:7" x14ac:dyDescent="0.2">
      <c r="B13" s="2" t="s">
        <v>11</v>
      </c>
      <c r="C13" s="2" t="s">
        <v>12</v>
      </c>
      <c r="D13" s="2" t="s">
        <v>22</v>
      </c>
      <c r="E13" s="2">
        <v>114.21420800000001</v>
      </c>
      <c r="F13" s="2">
        <v>1177.2167199999999</v>
      </c>
      <c r="G13" s="2">
        <v>114.21420800000001</v>
      </c>
    </row>
    <row r="14" spans="2:7" x14ac:dyDescent="0.2">
      <c r="B14" s="2" t="s">
        <v>13</v>
      </c>
      <c r="C14" s="2" t="s">
        <v>12</v>
      </c>
      <c r="D14" s="2" t="s">
        <v>22</v>
      </c>
      <c r="E14" s="2">
        <v>193.51577599999999</v>
      </c>
      <c r="F14" s="2">
        <v>730.21024</v>
      </c>
      <c r="G14" s="2">
        <v>193.51577599999999</v>
      </c>
    </row>
    <row r="15" spans="2:7" x14ac:dyDescent="0.2">
      <c r="B15" s="2" t="s">
        <v>14</v>
      </c>
      <c r="C15" s="2" t="s">
        <v>12</v>
      </c>
      <c r="D15" s="2" t="s">
        <v>22</v>
      </c>
      <c r="E15" s="2">
        <v>147.06949599999999</v>
      </c>
      <c r="F15" s="2">
        <v>817.18011999999999</v>
      </c>
      <c r="G15" s="2">
        <v>147.06949599999999</v>
      </c>
    </row>
    <row r="16" spans="2:7" x14ac:dyDescent="0.2">
      <c r="B16" s="2" t="s">
        <v>23</v>
      </c>
      <c r="C16" s="2" t="s">
        <v>7</v>
      </c>
      <c r="D16" s="2" t="s">
        <v>24</v>
      </c>
      <c r="E16" s="2">
        <v>8.2605800000000045</v>
      </c>
      <c r="F16" s="2">
        <v>1265.7452000000001</v>
      </c>
      <c r="G16" s="2">
        <v>8.2605800000000045</v>
      </c>
    </row>
    <row r="17" spans="2:7" x14ac:dyDescent="0.2">
      <c r="B17" s="2" t="s">
        <v>9</v>
      </c>
      <c r="C17" s="2" t="s">
        <v>7</v>
      </c>
      <c r="D17" s="2" t="s">
        <v>24</v>
      </c>
      <c r="E17" s="2">
        <v>118.92117999999999</v>
      </c>
      <c r="F17" s="2">
        <v>659.44979999999998</v>
      </c>
      <c r="G17" s="2">
        <v>118.92117999999999</v>
      </c>
    </row>
    <row r="18" spans="2:7" x14ac:dyDescent="0.2">
      <c r="B18" s="2" t="s">
        <v>10</v>
      </c>
      <c r="C18" s="2" t="s">
        <v>7</v>
      </c>
      <c r="D18" s="2" t="s">
        <v>24</v>
      </c>
      <c r="E18" s="2">
        <v>103.12736666666667</v>
      </c>
      <c r="F18" s="2">
        <v>748.91344000000004</v>
      </c>
      <c r="G18" s="2">
        <v>103.12736666666667</v>
      </c>
    </row>
    <row r="19" spans="2:7" x14ac:dyDescent="0.2">
      <c r="B19" s="2" t="s">
        <v>11</v>
      </c>
      <c r="C19" s="2" t="s">
        <v>12</v>
      </c>
      <c r="D19" s="2" t="s">
        <v>24</v>
      </c>
      <c r="E19" s="2">
        <v>66.448313333333317</v>
      </c>
      <c r="F19" s="2">
        <v>522.60472000000004</v>
      </c>
      <c r="G19" s="2">
        <v>66.448313333333317</v>
      </c>
    </row>
    <row r="20" spans="2:7" x14ac:dyDescent="0.2">
      <c r="B20" s="2" t="s">
        <v>13</v>
      </c>
      <c r="C20" s="2" t="s">
        <v>12</v>
      </c>
      <c r="D20" s="2" t="s">
        <v>24</v>
      </c>
      <c r="E20" s="2">
        <v>76.215540000000018</v>
      </c>
      <c r="F20" s="2">
        <v>818.73871999999994</v>
      </c>
      <c r="G20" s="2">
        <v>76.215540000000018</v>
      </c>
    </row>
    <row r="21" spans="2:7" x14ac:dyDescent="0.2">
      <c r="B21" s="3" t="s">
        <v>14</v>
      </c>
      <c r="C21" s="3" t="s">
        <v>12</v>
      </c>
      <c r="D21" s="3" t="s">
        <v>24</v>
      </c>
      <c r="E21" s="3">
        <v>95.594133333333346</v>
      </c>
      <c r="F21" s="3">
        <v>421.91915999999998</v>
      </c>
      <c r="G21" s="3">
        <v>95.594133333333346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A0EFB-9637-6A49-84CC-0418FC3AF554}">
  <dimension ref="B2:I57"/>
  <sheetViews>
    <sheetView workbookViewId="0">
      <selection activeCell="B3" sqref="B3"/>
    </sheetView>
  </sheetViews>
  <sheetFormatPr baseColWidth="10" defaultRowHeight="16" x14ac:dyDescent="0.2"/>
  <cols>
    <col min="6" max="6" width="25.1640625" customWidth="1"/>
    <col min="7" max="7" width="19" customWidth="1"/>
    <col min="8" max="8" width="15" customWidth="1"/>
  </cols>
  <sheetData>
    <row r="2" spans="2:9" x14ac:dyDescent="0.2">
      <c r="B2" s="1" t="s">
        <v>96</v>
      </c>
    </row>
    <row r="3" spans="2:9" ht="34" x14ac:dyDescent="0.2">
      <c r="B3" s="12" t="s">
        <v>0</v>
      </c>
      <c r="C3" s="12" t="s">
        <v>1</v>
      </c>
      <c r="D3" s="13" t="s">
        <v>3</v>
      </c>
      <c r="E3" s="13" t="s">
        <v>2</v>
      </c>
      <c r="F3" s="13" t="s">
        <v>38</v>
      </c>
      <c r="G3" s="13" t="s">
        <v>39</v>
      </c>
      <c r="H3" s="13" t="s">
        <v>40</v>
      </c>
      <c r="I3" s="13" t="s">
        <v>41</v>
      </c>
    </row>
    <row r="4" spans="2:9" x14ac:dyDescent="0.2">
      <c r="B4" s="2" t="s">
        <v>42</v>
      </c>
      <c r="C4" s="10">
        <v>2</v>
      </c>
      <c r="D4" s="2" t="s">
        <v>20</v>
      </c>
      <c r="E4" s="2" t="s">
        <v>7</v>
      </c>
      <c r="F4" s="9"/>
      <c r="G4" s="9"/>
      <c r="H4" s="8">
        <f t="shared" ref="H4:H57" si="0">(I4*4.1306-1.0384)*1000</f>
        <v>862.08906000000013</v>
      </c>
      <c r="I4" s="2">
        <v>0.46010000000000001</v>
      </c>
    </row>
    <row r="5" spans="2:9" x14ac:dyDescent="0.2">
      <c r="B5" s="2" t="s">
        <v>9</v>
      </c>
      <c r="C5" s="10">
        <v>2</v>
      </c>
      <c r="D5" s="2" t="s">
        <v>20</v>
      </c>
      <c r="E5" s="2" t="s">
        <v>7</v>
      </c>
      <c r="F5" s="9"/>
      <c r="G5" s="9"/>
      <c r="H5" s="8">
        <f t="shared" si="0"/>
        <v>860.43682000000013</v>
      </c>
      <c r="I5" s="2">
        <v>0.4597</v>
      </c>
    </row>
    <row r="6" spans="2:9" x14ac:dyDescent="0.2">
      <c r="B6" s="2" t="s">
        <v>10</v>
      </c>
      <c r="C6" s="10">
        <v>2</v>
      </c>
      <c r="D6" s="2" t="s">
        <v>20</v>
      </c>
      <c r="E6" s="2" t="s">
        <v>7</v>
      </c>
      <c r="F6" s="9"/>
      <c r="G6" s="9"/>
      <c r="H6" s="8">
        <f t="shared" si="0"/>
        <v>993.02908000000014</v>
      </c>
      <c r="I6" s="2">
        <v>0.49180000000000001</v>
      </c>
    </row>
    <row r="7" spans="2:9" x14ac:dyDescent="0.2">
      <c r="B7" s="2" t="s">
        <v>11</v>
      </c>
      <c r="C7" s="10">
        <v>2</v>
      </c>
      <c r="D7" s="2" t="s">
        <v>20</v>
      </c>
      <c r="E7" s="2" t="s">
        <v>12</v>
      </c>
      <c r="F7" s="9"/>
      <c r="G7" s="9"/>
      <c r="H7" s="8">
        <f t="shared" si="0"/>
        <v>1359.4133000000002</v>
      </c>
      <c r="I7" s="2">
        <v>0.58050000000000002</v>
      </c>
    </row>
    <row r="8" spans="2:9" x14ac:dyDescent="0.2">
      <c r="B8" s="2" t="s">
        <v>13</v>
      </c>
      <c r="C8" s="10">
        <v>2</v>
      </c>
      <c r="D8" s="2" t="s">
        <v>20</v>
      </c>
      <c r="E8" s="2" t="s">
        <v>12</v>
      </c>
      <c r="F8" s="9"/>
      <c r="G8" s="9"/>
      <c r="H8" s="8">
        <f t="shared" si="0"/>
        <v>684.88632000000018</v>
      </c>
      <c r="I8" s="2">
        <v>0.41720000000000002</v>
      </c>
    </row>
    <row r="9" spans="2:9" x14ac:dyDescent="0.2">
      <c r="B9" s="2" t="s">
        <v>14</v>
      </c>
      <c r="C9" s="10">
        <v>2</v>
      </c>
      <c r="D9" s="2" t="s">
        <v>20</v>
      </c>
      <c r="E9" s="2" t="s">
        <v>12</v>
      </c>
      <c r="F9" s="9"/>
      <c r="G9" s="9"/>
      <c r="H9" s="8">
        <f t="shared" si="0"/>
        <v>866.63272000000018</v>
      </c>
      <c r="I9" s="2">
        <v>0.4612</v>
      </c>
    </row>
    <row r="10" spans="2:9" x14ac:dyDescent="0.2">
      <c r="B10" s="2" t="s">
        <v>6</v>
      </c>
      <c r="C10" s="10">
        <v>2</v>
      </c>
      <c r="D10" s="2" t="s">
        <v>20</v>
      </c>
      <c r="E10" s="2" t="s">
        <v>7</v>
      </c>
      <c r="F10" s="9"/>
      <c r="G10" s="9"/>
      <c r="H10" s="8">
        <f t="shared" si="0"/>
        <v>706.36544000000015</v>
      </c>
      <c r="I10" s="2">
        <v>0.4224</v>
      </c>
    </row>
    <row r="11" spans="2:9" x14ac:dyDescent="0.2">
      <c r="B11" s="2" t="s">
        <v>9</v>
      </c>
      <c r="C11" s="10">
        <v>2</v>
      </c>
      <c r="D11" s="2" t="s">
        <v>20</v>
      </c>
      <c r="E11" s="2" t="s">
        <v>7</v>
      </c>
      <c r="F11" s="9"/>
      <c r="G11" s="9"/>
      <c r="H11" s="8">
        <f t="shared" si="0"/>
        <v>847.21890000000008</v>
      </c>
      <c r="I11" s="2">
        <v>0.45650000000000002</v>
      </c>
    </row>
    <row r="12" spans="2:9" x14ac:dyDescent="0.2">
      <c r="B12" s="2" t="s">
        <v>10</v>
      </c>
      <c r="C12" s="10">
        <v>2</v>
      </c>
      <c r="D12" s="2" t="s">
        <v>20</v>
      </c>
      <c r="E12" s="2" t="s">
        <v>7</v>
      </c>
      <c r="F12" s="9"/>
      <c r="G12" s="9"/>
      <c r="H12" s="8">
        <f t="shared" si="0"/>
        <v>922.39582000000019</v>
      </c>
      <c r="I12" s="2">
        <v>0.47470000000000001</v>
      </c>
    </row>
    <row r="13" spans="2:9" x14ac:dyDescent="0.2">
      <c r="B13" s="2" t="s">
        <v>11</v>
      </c>
      <c r="C13" s="10">
        <v>2</v>
      </c>
      <c r="D13" s="2" t="s">
        <v>20</v>
      </c>
      <c r="E13" s="2" t="s">
        <v>12</v>
      </c>
      <c r="F13" s="9"/>
      <c r="G13" s="9"/>
      <c r="H13" s="8">
        <f t="shared" si="0"/>
        <v>1437.4816400000004</v>
      </c>
      <c r="I13" s="2">
        <v>0.59940000000000004</v>
      </c>
    </row>
    <row r="14" spans="2:9" x14ac:dyDescent="0.2">
      <c r="B14" s="2" t="s">
        <v>13</v>
      </c>
      <c r="C14" s="10">
        <v>2</v>
      </c>
      <c r="D14" s="2" t="s">
        <v>20</v>
      </c>
      <c r="E14" s="2" t="s">
        <v>12</v>
      </c>
      <c r="F14" s="9"/>
      <c r="G14" s="9"/>
      <c r="H14" s="8">
        <f t="shared" si="0"/>
        <v>575.83848</v>
      </c>
      <c r="I14" s="2">
        <v>0.39079999999999998</v>
      </c>
    </row>
    <row r="15" spans="2:9" x14ac:dyDescent="0.2">
      <c r="B15" s="2" t="s">
        <v>14</v>
      </c>
      <c r="C15" s="10">
        <v>2</v>
      </c>
      <c r="D15" s="2" t="s">
        <v>20</v>
      </c>
      <c r="E15" s="2" t="s">
        <v>12</v>
      </c>
      <c r="F15" s="9"/>
      <c r="G15" s="9"/>
      <c r="H15" s="8">
        <f t="shared" si="0"/>
        <v>911.6562600000002</v>
      </c>
      <c r="I15" s="2">
        <v>0.47210000000000002</v>
      </c>
    </row>
    <row r="16" spans="2:9" x14ac:dyDescent="0.2">
      <c r="B16" s="2" t="s">
        <v>6</v>
      </c>
      <c r="C16" s="10">
        <v>2</v>
      </c>
      <c r="D16" s="2" t="s">
        <v>20</v>
      </c>
      <c r="E16" s="2" t="s">
        <v>7</v>
      </c>
      <c r="F16" s="9"/>
      <c r="G16" s="9"/>
      <c r="H16" s="8">
        <f t="shared" si="0"/>
        <v>746.43225999999993</v>
      </c>
      <c r="I16" s="2">
        <v>0.43209999999999998</v>
      </c>
    </row>
    <row r="17" spans="2:9" x14ac:dyDescent="0.2">
      <c r="B17" s="2" t="s">
        <v>9</v>
      </c>
      <c r="C17" s="10">
        <v>2</v>
      </c>
      <c r="D17" s="2" t="s">
        <v>20</v>
      </c>
      <c r="E17" s="2" t="s">
        <v>7</v>
      </c>
      <c r="F17" s="9"/>
      <c r="G17" s="9"/>
      <c r="H17" s="8">
        <f t="shared" si="0"/>
        <v>767.49832000000004</v>
      </c>
      <c r="I17" s="2">
        <v>0.43719999999999998</v>
      </c>
    </row>
    <row r="18" spans="2:9" x14ac:dyDescent="0.2">
      <c r="B18" s="2" t="s">
        <v>10</v>
      </c>
      <c r="C18" s="10">
        <v>2</v>
      </c>
      <c r="D18" s="2" t="s">
        <v>20</v>
      </c>
      <c r="E18" s="2" t="s">
        <v>7</v>
      </c>
      <c r="F18" s="9"/>
      <c r="G18" s="9"/>
      <c r="H18" s="8">
        <f t="shared" si="0"/>
        <v>862.91518000000008</v>
      </c>
      <c r="I18" s="2">
        <v>0.46029999999999999</v>
      </c>
    </row>
    <row r="19" spans="2:9" x14ac:dyDescent="0.2">
      <c r="B19" s="2" t="s">
        <v>11</v>
      </c>
      <c r="C19" s="10">
        <v>2</v>
      </c>
      <c r="D19" s="2" t="s">
        <v>20</v>
      </c>
      <c r="E19" s="2" t="s">
        <v>12</v>
      </c>
      <c r="F19" s="9"/>
      <c r="G19" s="9"/>
      <c r="H19" s="8">
        <f t="shared" si="0"/>
        <v>1422.6114800000003</v>
      </c>
      <c r="I19" s="2">
        <v>0.5958</v>
      </c>
    </row>
    <row r="20" spans="2:9" x14ac:dyDescent="0.2">
      <c r="B20" s="2" t="s">
        <v>13</v>
      </c>
      <c r="C20" s="10">
        <v>2</v>
      </c>
      <c r="D20" s="2" t="s">
        <v>20</v>
      </c>
      <c r="E20" s="2" t="s">
        <v>12</v>
      </c>
      <c r="F20" s="9"/>
      <c r="G20" s="9"/>
      <c r="H20" s="8">
        <f t="shared" si="0"/>
        <v>612.60082000000011</v>
      </c>
      <c r="I20" s="2">
        <v>0.3997</v>
      </c>
    </row>
    <row r="21" spans="2:9" x14ac:dyDescent="0.2">
      <c r="B21" s="2" t="s">
        <v>14</v>
      </c>
      <c r="C21" s="10">
        <v>2</v>
      </c>
      <c r="D21" s="2" t="s">
        <v>20</v>
      </c>
      <c r="E21" s="2" t="s">
        <v>12</v>
      </c>
      <c r="F21" s="9"/>
      <c r="G21" s="9"/>
      <c r="H21" s="8">
        <f t="shared" si="0"/>
        <v>911.6562600000002</v>
      </c>
      <c r="I21" s="2">
        <v>0.47210000000000002</v>
      </c>
    </row>
    <row r="22" spans="2:9" x14ac:dyDescent="0.2">
      <c r="B22" s="2" t="s">
        <v>43</v>
      </c>
      <c r="C22" s="8">
        <v>5</v>
      </c>
      <c r="D22" s="2" t="s">
        <v>20</v>
      </c>
      <c r="E22" s="2" t="s">
        <v>7</v>
      </c>
      <c r="F22" s="2">
        <f>G22/(C22-C4)</f>
        <v>-65.814226666666627</v>
      </c>
      <c r="G22" s="2">
        <f>H22-H4</f>
        <v>-197.44267999999988</v>
      </c>
      <c r="H22" s="8">
        <f t="shared" si="0"/>
        <v>664.64638000000025</v>
      </c>
      <c r="I22" s="8">
        <v>0.4123</v>
      </c>
    </row>
    <row r="23" spans="2:9" x14ac:dyDescent="0.2">
      <c r="B23" s="2" t="s">
        <v>9</v>
      </c>
      <c r="C23" s="8">
        <v>5</v>
      </c>
      <c r="D23" s="2" t="s">
        <v>20</v>
      </c>
      <c r="E23" s="2" t="s">
        <v>7</v>
      </c>
      <c r="F23" s="2">
        <f>G23/(C23-C5)</f>
        <v>-1.4457099999999627</v>
      </c>
      <c r="G23" s="2">
        <f t="shared" ref="G23:G57" si="1">H23-H5</f>
        <v>-4.3371299999998882</v>
      </c>
      <c r="H23" s="8">
        <f t="shared" si="0"/>
        <v>856.09969000000024</v>
      </c>
      <c r="I23" s="8">
        <v>0.45865</v>
      </c>
    </row>
    <row r="24" spans="2:9" x14ac:dyDescent="0.2">
      <c r="B24" s="2" t="s">
        <v>10</v>
      </c>
      <c r="C24" s="8">
        <v>5</v>
      </c>
      <c r="D24" s="2" t="s">
        <v>20</v>
      </c>
      <c r="E24" s="2" t="s">
        <v>7</v>
      </c>
      <c r="F24" s="2">
        <f>G24/(C24-C6)</f>
        <v>113.17844000000009</v>
      </c>
      <c r="G24" s="2">
        <f t="shared" si="1"/>
        <v>339.5353200000003</v>
      </c>
      <c r="H24" s="8">
        <f t="shared" si="0"/>
        <v>1332.5644000000004</v>
      </c>
      <c r="I24" s="8">
        <v>0.57400000000000007</v>
      </c>
    </row>
    <row r="25" spans="2:9" x14ac:dyDescent="0.2">
      <c r="B25" s="2" t="s">
        <v>11</v>
      </c>
      <c r="C25" s="8">
        <v>5</v>
      </c>
      <c r="D25" s="2" t="s">
        <v>20</v>
      </c>
      <c r="E25" s="2" t="s">
        <v>12</v>
      </c>
      <c r="F25" s="2">
        <f>G25/(C25-C7)</f>
        <v>142.50569999999993</v>
      </c>
      <c r="G25" s="2">
        <f t="shared" si="1"/>
        <v>427.5170999999998</v>
      </c>
      <c r="H25" s="8">
        <f t="shared" si="0"/>
        <v>1786.9304</v>
      </c>
      <c r="I25" s="8">
        <v>0.68399999999999994</v>
      </c>
    </row>
    <row r="26" spans="2:9" x14ac:dyDescent="0.2">
      <c r="B26" s="2" t="s">
        <v>13</v>
      </c>
      <c r="C26" s="8">
        <v>5</v>
      </c>
      <c r="D26" s="2" t="s">
        <v>20</v>
      </c>
      <c r="E26" s="2" t="s">
        <v>12</v>
      </c>
      <c r="F26" s="2">
        <f>G26/(C26-C8)</f>
        <v>111.73272999999995</v>
      </c>
      <c r="G26" s="2">
        <f t="shared" si="1"/>
        <v>335.19818999999984</v>
      </c>
      <c r="H26" s="8">
        <f t="shared" si="0"/>
        <v>1020.08451</v>
      </c>
      <c r="I26" s="8">
        <v>0.49834999999999996</v>
      </c>
    </row>
    <row r="27" spans="2:9" x14ac:dyDescent="0.2">
      <c r="B27" s="2" t="s">
        <v>14</v>
      </c>
      <c r="C27" s="8">
        <v>5</v>
      </c>
      <c r="D27" s="2" t="s">
        <v>20</v>
      </c>
      <c r="E27" s="2" t="s">
        <v>12</v>
      </c>
      <c r="F27" s="2">
        <f>G27/(C27-C9)</f>
        <v>181.05796666666663</v>
      </c>
      <c r="G27" s="2">
        <f t="shared" si="1"/>
        <v>543.17389999999989</v>
      </c>
      <c r="H27" s="8">
        <f t="shared" si="0"/>
        <v>1409.8066200000001</v>
      </c>
      <c r="I27" s="8">
        <v>0.5927</v>
      </c>
    </row>
    <row r="28" spans="2:9" x14ac:dyDescent="0.2">
      <c r="B28" s="2" t="s">
        <v>6</v>
      </c>
      <c r="C28" s="8">
        <v>5</v>
      </c>
      <c r="D28" s="2" t="s">
        <v>20</v>
      </c>
      <c r="E28" s="2" t="s">
        <v>7</v>
      </c>
      <c r="F28" s="2">
        <f>G28/(C28-C10)</f>
        <v>-113.72918666666669</v>
      </c>
      <c r="G28" s="2">
        <f t="shared" si="1"/>
        <v>-341.18756000000008</v>
      </c>
      <c r="H28" s="8">
        <f t="shared" si="0"/>
        <v>365.17788000000007</v>
      </c>
      <c r="I28" s="8">
        <v>0.33979999999999999</v>
      </c>
    </row>
    <row r="29" spans="2:9" x14ac:dyDescent="0.2">
      <c r="B29" s="2" t="s">
        <v>9</v>
      </c>
      <c r="C29" s="8">
        <v>5</v>
      </c>
      <c r="D29" s="2" t="s">
        <v>20</v>
      </c>
      <c r="E29" s="2" t="s">
        <v>7</v>
      </c>
      <c r="F29" s="2">
        <f>G29/(C29-C11)</f>
        <v>-16.797773333333378</v>
      </c>
      <c r="G29" s="2">
        <f t="shared" si="1"/>
        <v>-50.393320000000131</v>
      </c>
      <c r="H29" s="8">
        <f t="shared" si="0"/>
        <v>796.82557999999995</v>
      </c>
      <c r="I29" s="8">
        <v>0.44429999999999997</v>
      </c>
    </row>
    <row r="30" spans="2:9" x14ac:dyDescent="0.2">
      <c r="B30" s="2" t="s">
        <v>10</v>
      </c>
      <c r="C30" s="8">
        <v>5</v>
      </c>
      <c r="D30" s="2" t="s">
        <v>20</v>
      </c>
      <c r="E30" s="2" t="s">
        <v>7</v>
      </c>
      <c r="F30" s="2">
        <f>G30/(C30-C12)</f>
        <v>81.785880000000063</v>
      </c>
      <c r="G30" s="2">
        <f t="shared" si="1"/>
        <v>245.35764000000017</v>
      </c>
      <c r="H30" s="8">
        <f t="shared" si="0"/>
        <v>1167.7534600000004</v>
      </c>
      <c r="I30" s="8">
        <v>0.53410000000000002</v>
      </c>
    </row>
    <row r="31" spans="2:9" x14ac:dyDescent="0.2">
      <c r="B31" s="2" t="s">
        <v>11</v>
      </c>
      <c r="C31" s="8">
        <v>5</v>
      </c>
      <c r="D31" s="2" t="s">
        <v>20</v>
      </c>
      <c r="E31" s="2" t="s">
        <v>12</v>
      </c>
      <c r="F31" s="2">
        <f>G31/(C31-C13)</f>
        <v>-40.617566666666789</v>
      </c>
      <c r="G31" s="2">
        <f t="shared" si="1"/>
        <v>-121.85270000000037</v>
      </c>
      <c r="H31" s="8">
        <f t="shared" si="0"/>
        <v>1315.6289400000001</v>
      </c>
      <c r="I31" s="8">
        <v>0.56989999999999996</v>
      </c>
    </row>
    <row r="32" spans="2:9" x14ac:dyDescent="0.2">
      <c r="B32" s="2" t="s">
        <v>13</v>
      </c>
      <c r="C32" s="8">
        <v>5</v>
      </c>
      <c r="D32" s="2" t="s">
        <v>20</v>
      </c>
      <c r="E32" s="2" t="s">
        <v>12</v>
      </c>
      <c r="F32" s="2">
        <f>G32/(C32-C14)</f>
        <v>79.995953333333432</v>
      </c>
      <c r="G32" s="2">
        <f t="shared" si="1"/>
        <v>239.9878600000003</v>
      </c>
      <c r="H32" s="8">
        <f t="shared" si="0"/>
        <v>815.8263400000003</v>
      </c>
      <c r="I32" s="8">
        <v>0.44890000000000002</v>
      </c>
    </row>
    <row r="33" spans="2:9" x14ac:dyDescent="0.2">
      <c r="B33" s="2" t="s">
        <v>14</v>
      </c>
      <c r="C33" s="8">
        <v>5</v>
      </c>
      <c r="D33" s="2" t="s">
        <v>20</v>
      </c>
      <c r="E33" s="2" t="s">
        <v>12</v>
      </c>
      <c r="F33" s="2">
        <f>G33/(C33-C15)</f>
        <v>118.27284666666674</v>
      </c>
      <c r="G33" s="2">
        <f t="shared" si="1"/>
        <v>354.81854000000021</v>
      </c>
      <c r="H33" s="8">
        <f t="shared" si="0"/>
        <v>1266.4748000000004</v>
      </c>
      <c r="I33" s="8">
        <v>0.55800000000000005</v>
      </c>
    </row>
    <row r="34" spans="2:9" x14ac:dyDescent="0.2">
      <c r="B34" s="2" t="s">
        <v>6</v>
      </c>
      <c r="C34" s="8">
        <v>5</v>
      </c>
      <c r="D34" s="2" t="s">
        <v>20</v>
      </c>
      <c r="E34" s="2" t="s">
        <v>7</v>
      </c>
      <c r="F34" s="2">
        <f>G34/(C34-C16)</f>
        <v>-27.261959999999892</v>
      </c>
      <c r="G34" s="2">
        <f t="shared" si="1"/>
        <v>-81.785879999999679</v>
      </c>
      <c r="H34" s="8">
        <f t="shared" si="0"/>
        <v>664.64638000000025</v>
      </c>
      <c r="I34" s="2">
        <v>0.4123</v>
      </c>
    </row>
    <row r="35" spans="2:9" x14ac:dyDescent="0.2">
      <c r="B35" s="2" t="s">
        <v>9</v>
      </c>
      <c r="C35" s="8">
        <v>5</v>
      </c>
      <c r="D35" s="2" t="s">
        <v>20</v>
      </c>
      <c r="E35" s="2" t="s">
        <v>7</v>
      </c>
      <c r="F35" s="2">
        <f>G35/(C35-C17)</f>
        <v>29.533790000000067</v>
      </c>
      <c r="G35" s="2">
        <f t="shared" si="1"/>
        <v>88.601370000000202</v>
      </c>
      <c r="H35" s="8">
        <f t="shared" si="0"/>
        <v>856.09969000000024</v>
      </c>
      <c r="I35" s="2">
        <v>0.45865</v>
      </c>
    </row>
    <row r="36" spans="2:9" x14ac:dyDescent="0.2">
      <c r="B36" s="2" t="s">
        <v>10</v>
      </c>
      <c r="C36" s="8">
        <v>5</v>
      </c>
      <c r="D36" s="2" t="s">
        <v>20</v>
      </c>
      <c r="E36" s="2" t="s">
        <v>7</v>
      </c>
      <c r="F36" s="2">
        <f>G36/(C36-C18)</f>
        <v>156.54974000000013</v>
      </c>
      <c r="G36" s="2">
        <f t="shared" si="1"/>
        <v>469.64922000000035</v>
      </c>
      <c r="H36" s="8">
        <f t="shared" si="0"/>
        <v>1332.5644000000004</v>
      </c>
      <c r="I36" s="2">
        <v>0.57400000000000007</v>
      </c>
    </row>
    <row r="37" spans="2:9" x14ac:dyDescent="0.2">
      <c r="B37" s="2" t="s">
        <v>11</v>
      </c>
      <c r="C37" s="8">
        <v>5</v>
      </c>
      <c r="D37" s="2" t="s">
        <v>20</v>
      </c>
      <c r="E37" s="2" t="s">
        <v>12</v>
      </c>
      <c r="F37" s="2">
        <f>G37/(C37-C19)</f>
        <v>121.4396399999999</v>
      </c>
      <c r="G37" s="2">
        <f t="shared" si="1"/>
        <v>364.31891999999971</v>
      </c>
      <c r="H37" s="8">
        <f t="shared" si="0"/>
        <v>1786.9304</v>
      </c>
      <c r="I37" s="2">
        <v>0.68399999999999994</v>
      </c>
    </row>
    <row r="38" spans="2:9" x14ac:dyDescent="0.2">
      <c r="B38" s="2" t="s">
        <v>13</v>
      </c>
      <c r="C38" s="8">
        <v>5</v>
      </c>
      <c r="D38" s="2" t="s">
        <v>20</v>
      </c>
      <c r="E38" s="2" t="s">
        <v>12</v>
      </c>
      <c r="F38" s="2">
        <f>G38/(C38-C20)</f>
        <v>135.82789666666665</v>
      </c>
      <c r="G38" s="2">
        <f t="shared" si="1"/>
        <v>407.48368999999991</v>
      </c>
      <c r="H38" s="8">
        <f t="shared" si="0"/>
        <v>1020.08451</v>
      </c>
      <c r="I38" s="2">
        <v>0.49834999999999996</v>
      </c>
    </row>
    <row r="39" spans="2:9" x14ac:dyDescent="0.2">
      <c r="B39" s="2" t="s">
        <v>14</v>
      </c>
      <c r="C39" s="8">
        <v>5</v>
      </c>
      <c r="D39" s="2" t="s">
        <v>20</v>
      </c>
      <c r="E39" s="2" t="s">
        <v>12</v>
      </c>
      <c r="F39" s="2">
        <f>G39/(C39-C21)</f>
        <v>166.05011999999996</v>
      </c>
      <c r="G39" s="2">
        <f t="shared" si="1"/>
        <v>498.15035999999986</v>
      </c>
      <c r="H39" s="8">
        <f t="shared" si="0"/>
        <v>1409.8066200000001</v>
      </c>
      <c r="I39" s="2">
        <v>0.5927</v>
      </c>
    </row>
    <row r="40" spans="2:9" x14ac:dyDescent="0.2">
      <c r="B40" s="2" t="s">
        <v>44</v>
      </c>
      <c r="C40" s="8">
        <v>14</v>
      </c>
      <c r="D40" s="2" t="s">
        <v>20</v>
      </c>
      <c r="E40" s="2" t="s">
        <v>7</v>
      </c>
      <c r="F40" s="2">
        <f>G40/(C40-C22)</f>
        <v>1.8817177777777436</v>
      </c>
      <c r="G40" s="2">
        <f t="shared" si="1"/>
        <v>16.935459999999694</v>
      </c>
      <c r="H40" s="8">
        <f t="shared" si="0"/>
        <v>681.58183999999994</v>
      </c>
      <c r="I40" s="11">
        <v>0.41639999999999999</v>
      </c>
    </row>
    <row r="41" spans="2:9" x14ac:dyDescent="0.2">
      <c r="B41" s="2" t="s">
        <v>9</v>
      </c>
      <c r="C41" s="8">
        <v>14</v>
      </c>
      <c r="D41" s="2" t="s">
        <v>20</v>
      </c>
      <c r="E41" s="2" t="s">
        <v>7</v>
      </c>
      <c r="F41" s="2">
        <f>G41/(C41-C23)</f>
        <v>-4.3371300000000144</v>
      </c>
      <c r="G41" s="2">
        <f t="shared" si="1"/>
        <v>-39.034170000000131</v>
      </c>
      <c r="H41" s="8">
        <f t="shared" si="0"/>
        <v>817.06552000000011</v>
      </c>
      <c r="I41" s="11">
        <v>0.44919999999999999</v>
      </c>
    </row>
    <row r="42" spans="2:9" x14ac:dyDescent="0.2">
      <c r="B42" s="2" t="s">
        <v>10</v>
      </c>
      <c r="C42" s="8">
        <v>14</v>
      </c>
      <c r="D42" s="2" t="s">
        <v>20</v>
      </c>
      <c r="E42" s="2" t="s">
        <v>7</v>
      </c>
      <c r="F42" s="2">
        <f>G42/(C42-C24)</f>
        <v>-27.583228888888925</v>
      </c>
      <c r="G42" s="2">
        <f t="shared" si="1"/>
        <v>-248.24906000000033</v>
      </c>
      <c r="H42" s="8">
        <f t="shared" si="0"/>
        <v>1084.3153400000001</v>
      </c>
      <c r="I42" s="11">
        <v>0.51390000000000002</v>
      </c>
    </row>
    <row r="43" spans="2:9" x14ac:dyDescent="0.2">
      <c r="B43" s="2" t="s">
        <v>11</v>
      </c>
      <c r="C43" s="8">
        <v>14</v>
      </c>
      <c r="D43" s="2" t="s">
        <v>20</v>
      </c>
      <c r="E43" s="2" t="s">
        <v>12</v>
      </c>
      <c r="F43" s="2">
        <f>G43/(C43-C25)</f>
        <v>21.295537777777856</v>
      </c>
      <c r="G43" s="2">
        <f t="shared" si="1"/>
        <v>191.65984000000071</v>
      </c>
      <c r="H43" s="8">
        <f t="shared" si="0"/>
        <v>1978.5902400000007</v>
      </c>
      <c r="I43" s="11">
        <v>0.73040000000000005</v>
      </c>
    </row>
    <row r="44" spans="2:9" x14ac:dyDescent="0.2">
      <c r="B44" s="2" t="s">
        <v>13</v>
      </c>
      <c r="C44" s="8">
        <v>14</v>
      </c>
      <c r="D44" s="2" t="s">
        <v>20</v>
      </c>
      <c r="E44" s="2" t="s">
        <v>12</v>
      </c>
      <c r="F44" s="2">
        <f>G44/(C44-C26)</f>
        <v>27.376698888888932</v>
      </c>
      <c r="G44" s="2">
        <f t="shared" si="1"/>
        <v>246.39029000000039</v>
      </c>
      <c r="H44" s="8">
        <f t="shared" si="0"/>
        <v>1266.4748000000004</v>
      </c>
      <c r="I44" s="11">
        <v>0.55800000000000005</v>
      </c>
    </row>
    <row r="45" spans="2:9" x14ac:dyDescent="0.2">
      <c r="B45" s="2" t="s">
        <v>14</v>
      </c>
      <c r="C45" s="8">
        <v>14</v>
      </c>
      <c r="D45" s="2" t="s">
        <v>20</v>
      </c>
      <c r="E45" s="2" t="s">
        <v>12</v>
      </c>
      <c r="F45" s="2">
        <f>G45/(C45-C27)</f>
        <v>-34.972413333333357</v>
      </c>
      <c r="G45" s="2">
        <f t="shared" si="1"/>
        <v>-314.7517200000002</v>
      </c>
      <c r="H45" s="8">
        <f t="shared" si="0"/>
        <v>1095.0548999999999</v>
      </c>
      <c r="I45" s="11">
        <v>0.51649999999999996</v>
      </c>
    </row>
    <row r="46" spans="2:9" x14ac:dyDescent="0.2">
      <c r="B46" s="2" t="s">
        <v>6</v>
      </c>
      <c r="C46" s="8">
        <v>14</v>
      </c>
      <c r="D46" s="2" t="s">
        <v>20</v>
      </c>
      <c r="E46" s="2" t="s">
        <v>7</v>
      </c>
      <c r="F46" s="2">
        <f>G46/(C46-C28)</f>
        <v>24.554122222222205</v>
      </c>
      <c r="G46" s="2">
        <f t="shared" si="1"/>
        <v>220.98709999999983</v>
      </c>
      <c r="H46" s="8">
        <f t="shared" si="0"/>
        <v>586.1649799999999</v>
      </c>
      <c r="I46" s="11">
        <v>0.39329999999999998</v>
      </c>
    </row>
    <row r="47" spans="2:9" x14ac:dyDescent="0.2">
      <c r="B47" s="2" t="s">
        <v>9</v>
      </c>
      <c r="C47" s="8">
        <v>14</v>
      </c>
      <c r="D47" s="2" t="s">
        <v>20</v>
      </c>
      <c r="E47" s="2" t="s">
        <v>7</v>
      </c>
      <c r="F47" s="2">
        <f>G47/(C47-C29)</f>
        <v>4.5436600000000205</v>
      </c>
      <c r="G47" s="2">
        <f t="shared" si="1"/>
        <v>40.892940000000181</v>
      </c>
      <c r="H47" s="8">
        <f t="shared" si="0"/>
        <v>837.71852000000013</v>
      </c>
      <c r="I47" s="11">
        <v>0.45419999999999999</v>
      </c>
    </row>
    <row r="48" spans="2:9" x14ac:dyDescent="0.2">
      <c r="B48" s="2" t="s">
        <v>10</v>
      </c>
      <c r="C48" s="8">
        <v>14</v>
      </c>
      <c r="D48" s="2" t="s">
        <v>20</v>
      </c>
      <c r="E48" s="2" t="s">
        <v>7</v>
      </c>
      <c r="F48" s="2">
        <f>G48/(C48-C30)</f>
        <v>-11.014933333333349</v>
      </c>
      <c r="G48" s="2">
        <f t="shared" si="1"/>
        <v>-99.134400000000142</v>
      </c>
      <c r="H48" s="8">
        <f t="shared" si="0"/>
        <v>1068.6190600000002</v>
      </c>
      <c r="I48" s="11">
        <v>0.5101</v>
      </c>
    </row>
    <row r="49" spans="2:9" x14ac:dyDescent="0.2">
      <c r="B49" s="2" t="s">
        <v>11</v>
      </c>
      <c r="C49" s="8">
        <v>14</v>
      </c>
      <c r="D49" s="2" t="s">
        <v>20</v>
      </c>
      <c r="E49" s="2" t="s">
        <v>12</v>
      </c>
      <c r="F49" s="2">
        <f>G49/(C49-C31)</f>
        <v>50.714588888888912</v>
      </c>
      <c r="G49" s="2">
        <f t="shared" si="1"/>
        <v>456.43130000000019</v>
      </c>
      <c r="H49" s="8">
        <f t="shared" si="0"/>
        <v>1772.0602400000002</v>
      </c>
      <c r="I49" s="11">
        <v>0.6804</v>
      </c>
    </row>
    <row r="50" spans="2:9" x14ac:dyDescent="0.2">
      <c r="B50" s="2" t="s">
        <v>13</v>
      </c>
      <c r="C50" s="8">
        <v>14</v>
      </c>
      <c r="D50" s="2" t="s">
        <v>20</v>
      </c>
      <c r="E50" s="2" t="s">
        <v>12</v>
      </c>
      <c r="F50" s="2">
        <f>G50/(C50-C32)</f>
        <v>46.446302222222208</v>
      </c>
      <c r="G50" s="2">
        <f t="shared" si="1"/>
        <v>418.01671999999985</v>
      </c>
      <c r="H50" s="8">
        <f t="shared" si="0"/>
        <v>1233.8430600000002</v>
      </c>
      <c r="I50" s="11">
        <v>0.55010000000000003</v>
      </c>
    </row>
    <row r="51" spans="2:9" x14ac:dyDescent="0.2">
      <c r="B51" s="2" t="s">
        <v>14</v>
      </c>
      <c r="C51" s="8">
        <v>14</v>
      </c>
      <c r="D51" s="2" t="s">
        <v>20</v>
      </c>
      <c r="E51" s="2" t="s">
        <v>12</v>
      </c>
      <c r="F51" s="2">
        <f>G51/(C51-C33)</f>
        <v>-21.020164444444465</v>
      </c>
      <c r="G51" s="2">
        <f t="shared" si="1"/>
        <v>-189.18148000000019</v>
      </c>
      <c r="H51" s="8">
        <f t="shared" si="0"/>
        <v>1077.2933200000002</v>
      </c>
      <c r="I51" s="11">
        <v>0.51219999999999999</v>
      </c>
    </row>
    <row r="52" spans="2:9" x14ac:dyDescent="0.2">
      <c r="B52" s="2" t="s">
        <v>6</v>
      </c>
      <c r="C52" s="8">
        <v>14</v>
      </c>
      <c r="D52" s="2" t="s">
        <v>20</v>
      </c>
      <c r="E52" s="2" t="s">
        <v>7</v>
      </c>
      <c r="F52" s="2">
        <f>G52/(C52-C34)</f>
        <v>-5.8746311111111078</v>
      </c>
      <c r="G52" s="2">
        <f t="shared" si="1"/>
        <v>-52.871679999999969</v>
      </c>
      <c r="H52" s="8">
        <f t="shared" si="0"/>
        <v>611.77470000000028</v>
      </c>
      <c r="I52" s="8">
        <v>0.39950000000000002</v>
      </c>
    </row>
    <row r="53" spans="2:9" x14ac:dyDescent="0.2">
      <c r="B53" s="2" t="s">
        <v>9</v>
      </c>
      <c r="C53" s="8">
        <v>14</v>
      </c>
      <c r="D53" s="2" t="s">
        <v>20</v>
      </c>
      <c r="E53" s="2" t="s">
        <v>7</v>
      </c>
      <c r="F53" s="2">
        <f>G53/(C53-C35)</f>
        <v>-1.6751877777777762</v>
      </c>
      <c r="G53" s="2">
        <f t="shared" si="1"/>
        <v>-15.076689999999985</v>
      </c>
      <c r="H53" s="8">
        <f t="shared" si="0"/>
        <v>841.02300000000025</v>
      </c>
      <c r="I53" s="11">
        <v>0.45500000000000002</v>
      </c>
    </row>
    <row r="54" spans="2:9" x14ac:dyDescent="0.2">
      <c r="B54" s="2" t="s">
        <v>10</v>
      </c>
      <c r="C54" s="8">
        <v>14</v>
      </c>
      <c r="D54" s="2" t="s">
        <v>20</v>
      </c>
      <c r="E54" s="2" t="s">
        <v>7</v>
      </c>
      <c r="F54" s="2">
        <f>G54/(C54-C36)</f>
        <v>-29.878006666666678</v>
      </c>
      <c r="G54" s="2">
        <f t="shared" si="1"/>
        <v>-268.90206000000012</v>
      </c>
      <c r="H54" s="8">
        <f t="shared" si="0"/>
        <v>1063.6623400000003</v>
      </c>
      <c r="I54" s="11">
        <v>0.50890000000000002</v>
      </c>
    </row>
    <row r="55" spans="2:9" x14ac:dyDescent="0.2">
      <c r="B55" s="2" t="s">
        <v>11</v>
      </c>
      <c r="C55" s="8">
        <v>14</v>
      </c>
      <c r="D55" s="2" t="s">
        <v>20</v>
      </c>
      <c r="E55" s="2" t="s">
        <v>12</v>
      </c>
      <c r="F55" s="2">
        <f>G55/(C55-C37)</f>
        <v>3.0291066666666717</v>
      </c>
      <c r="G55" s="2">
        <f t="shared" si="1"/>
        <v>27.261960000000045</v>
      </c>
      <c r="H55" s="8">
        <f t="shared" si="0"/>
        <v>1814.19236</v>
      </c>
      <c r="I55" s="11">
        <v>0.69059999999999999</v>
      </c>
    </row>
    <row r="56" spans="2:9" x14ac:dyDescent="0.2">
      <c r="B56" s="2" t="s">
        <v>13</v>
      </c>
      <c r="C56" s="8">
        <v>14</v>
      </c>
      <c r="D56" s="2" t="s">
        <v>20</v>
      </c>
      <c r="E56" s="2" t="s">
        <v>12</v>
      </c>
      <c r="F56" s="2">
        <f>G56/(C56-C38)</f>
        <v>22.603561111111112</v>
      </c>
      <c r="G56" s="2">
        <f t="shared" si="1"/>
        <v>203.43205</v>
      </c>
      <c r="H56" s="8">
        <f t="shared" si="0"/>
        <v>1223.51656</v>
      </c>
      <c r="I56" s="8">
        <v>0.54759999999999998</v>
      </c>
    </row>
    <row r="57" spans="2:9" x14ac:dyDescent="0.2">
      <c r="B57" s="3" t="s">
        <v>14</v>
      </c>
      <c r="C57" s="14">
        <v>14</v>
      </c>
      <c r="D57" s="3" t="s">
        <v>20</v>
      </c>
      <c r="E57" s="3" t="s">
        <v>12</v>
      </c>
      <c r="F57" s="3">
        <f>G57/(C57-C39)</f>
        <v>-37.955624444444439</v>
      </c>
      <c r="G57" s="3">
        <f t="shared" si="1"/>
        <v>-341.60061999999994</v>
      </c>
      <c r="H57" s="14">
        <f t="shared" si="0"/>
        <v>1068.2060000000001</v>
      </c>
      <c r="I57" s="15">
        <v>0.51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0F9FD-E979-B54C-9D65-3B93F10E82D3}">
  <dimension ref="B2:G33"/>
  <sheetViews>
    <sheetView workbookViewId="0">
      <selection activeCell="B3" sqref="B3"/>
    </sheetView>
  </sheetViews>
  <sheetFormatPr baseColWidth="10" defaultRowHeight="16" x14ac:dyDescent="0.2"/>
  <cols>
    <col min="2" max="2" width="14.5" customWidth="1"/>
    <col min="3" max="3" width="13.5" customWidth="1"/>
    <col min="5" max="5" width="8" customWidth="1"/>
  </cols>
  <sheetData>
    <row r="2" spans="2:7" x14ac:dyDescent="0.2">
      <c r="B2" s="17" t="s">
        <v>97</v>
      </c>
    </row>
    <row r="3" spans="2:7" x14ac:dyDescent="0.2">
      <c r="B3" s="4" t="s">
        <v>94</v>
      </c>
      <c r="C3" s="4" t="s">
        <v>2</v>
      </c>
      <c r="D3" s="4" t="s">
        <v>45</v>
      </c>
      <c r="E3" s="4" t="s">
        <v>46</v>
      </c>
      <c r="F3" s="4" t="s">
        <v>47</v>
      </c>
      <c r="G3" s="4" t="s">
        <v>48</v>
      </c>
    </row>
    <row r="4" spans="2:7" x14ac:dyDescent="0.2">
      <c r="B4" s="2" t="s">
        <v>49</v>
      </c>
      <c r="C4" s="2" t="s">
        <v>50</v>
      </c>
      <c r="D4" s="2" t="s">
        <v>7</v>
      </c>
      <c r="E4" s="2">
        <v>14</v>
      </c>
      <c r="F4" s="2">
        <v>3.2001409999999999</v>
      </c>
      <c r="G4" s="2" t="s">
        <v>51</v>
      </c>
    </row>
    <row r="5" spans="2:7" x14ac:dyDescent="0.2">
      <c r="B5" s="2" t="s">
        <v>52</v>
      </c>
      <c r="C5" s="2" t="s">
        <v>50</v>
      </c>
      <c r="D5" s="2" t="s">
        <v>7</v>
      </c>
      <c r="E5" s="2">
        <v>14</v>
      </c>
      <c r="F5" s="2">
        <v>3.3498109999999999</v>
      </c>
      <c r="G5" s="2" t="s">
        <v>51</v>
      </c>
    </row>
    <row r="6" spans="2:7" x14ac:dyDescent="0.2">
      <c r="B6" s="2" t="s">
        <v>53</v>
      </c>
      <c r="C6" s="2" t="s">
        <v>50</v>
      </c>
      <c r="D6" s="2" t="s">
        <v>7</v>
      </c>
      <c r="E6" s="2">
        <v>14</v>
      </c>
      <c r="F6" s="2">
        <v>3.2369849999999998</v>
      </c>
      <c r="G6" s="2" t="s">
        <v>51</v>
      </c>
    </row>
    <row r="7" spans="2:7" x14ac:dyDescent="0.2">
      <c r="B7" s="2" t="s">
        <v>54</v>
      </c>
      <c r="C7" s="2" t="s">
        <v>55</v>
      </c>
      <c r="D7" s="2" t="s">
        <v>7</v>
      </c>
      <c r="E7" s="2">
        <v>2</v>
      </c>
      <c r="F7" s="2">
        <v>3.997668</v>
      </c>
      <c r="G7" s="2" t="s">
        <v>56</v>
      </c>
    </row>
    <row r="8" spans="2:7" x14ac:dyDescent="0.2">
      <c r="B8" s="2" t="s">
        <v>57</v>
      </c>
      <c r="C8" s="2" t="s">
        <v>55</v>
      </c>
      <c r="D8" s="2" t="s">
        <v>7</v>
      </c>
      <c r="E8" s="2">
        <v>2</v>
      </c>
      <c r="F8" s="2">
        <v>3.732729</v>
      </c>
      <c r="G8" s="2" t="s">
        <v>56</v>
      </c>
    </row>
    <row r="9" spans="2:7" x14ac:dyDescent="0.2">
      <c r="B9" s="2" t="s">
        <v>58</v>
      </c>
      <c r="C9" s="2" t="s">
        <v>55</v>
      </c>
      <c r="D9" s="2" t="s">
        <v>7</v>
      </c>
      <c r="E9" s="2">
        <v>2</v>
      </c>
      <c r="F9" s="2">
        <v>3.4528880000000002</v>
      </c>
      <c r="G9" s="2" t="s">
        <v>56</v>
      </c>
    </row>
    <row r="10" spans="2:7" x14ac:dyDescent="0.2">
      <c r="B10" s="2" t="s">
        <v>59</v>
      </c>
      <c r="C10" s="2" t="s">
        <v>60</v>
      </c>
      <c r="D10" s="2" t="s">
        <v>7</v>
      </c>
      <c r="E10" s="2">
        <v>23</v>
      </c>
      <c r="F10" s="2">
        <v>3.1925569999999999</v>
      </c>
      <c r="G10" s="2" t="s">
        <v>61</v>
      </c>
    </row>
    <row r="11" spans="2:7" x14ac:dyDescent="0.2">
      <c r="B11" s="2" t="s">
        <v>62</v>
      </c>
      <c r="C11" s="2" t="s">
        <v>60</v>
      </c>
      <c r="D11" s="2" t="s">
        <v>7</v>
      </c>
      <c r="E11" s="2">
        <v>23</v>
      </c>
      <c r="F11" s="2">
        <v>2.9631419999999999</v>
      </c>
      <c r="G11" s="2" t="s">
        <v>61</v>
      </c>
    </row>
    <row r="12" spans="2:7" x14ac:dyDescent="0.2">
      <c r="B12" s="2" t="s">
        <v>63</v>
      </c>
      <c r="C12" s="2" t="s">
        <v>60</v>
      </c>
      <c r="D12" s="2" t="s">
        <v>7</v>
      </c>
      <c r="E12" s="2">
        <v>23</v>
      </c>
      <c r="F12" s="2">
        <v>3.2690760000000001</v>
      </c>
      <c r="G12" s="2" t="s">
        <v>61</v>
      </c>
    </row>
    <row r="13" spans="2:7" x14ac:dyDescent="0.2">
      <c r="B13" s="2" t="s">
        <v>64</v>
      </c>
      <c r="C13" s="2" t="s">
        <v>65</v>
      </c>
      <c r="D13" s="2" t="s">
        <v>7</v>
      </c>
      <c r="E13" s="2">
        <v>4</v>
      </c>
      <c r="F13" s="2">
        <v>3.40449</v>
      </c>
      <c r="G13" s="2" t="s">
        <v>66</v>
      </c>
    </row>
    <row r="14" spans="2:7" x14ac:dyDescent="0.2">
      <c r="B14" s="2" t="s">
        <v>67</v>
      </c>
      <c r="C14" s="2" t="s">
        <v>65</v>
      </c>
      <c r="D14" s="2" t="s">
        <v>7</v>
      </c>
      <c r="E14" s="2">
        <v>4</v>
      </c>
      <c r="F14" s="2">
        <v>3.5632429999999999</v>
      </c>
      <c r="G14" s="2" t="s">
        <v>66</v>
      </c>
    </row>
    <row r="15" spans="2:7" x14ac:dyDescent="0.2">
      <c r="B15" s="2" t="s">
        <v>68</v>
      </c>
      <c r="C15" s="2" t="s">
        <v>65</v>
      </c>
      <c r="D15" s="2" t="s">
        <v>7</v>
      </c>
      <c r="E15" s="2">
        <v>4</v>
      </c>
      <c r="F15" s="2">
        <v>3.705632</v>
      </c>
      <c r="G15" s="2" t="s">
        <v>66</v>
      </c>
    </row>
    <row r="16" spans="2:7" x14ac:dyDescent="0.2">
      <c r="B16" s="2" t="s">
        <v>69</v>
      </c>
      <c r="C16" s="2" t="s">
        <v>70</v>
      </c>
      <c r="D16" s="2" t="s">
        <v>7</v>
      </c>
      <c r="E16" s="2">
        <v>9</v>
      </c>
      <c r="F16" s="2">
        <v>3.449354</v>
      </c>
      <c r="G16" s="2" t="s">
        <v>71</v>
      </c>
    </row>
    <row r="17" spans="2:7" x14ac:dyDescent="0.2">
      <c r="B17" s="2" t="s">
        <v>72</v>
      </c>
      <c r="C17" s="2" t="s">
        <v>70</v>
      </c>
      <c r="D17" s="2" t="s">
        <v>7</v>
      </c>
      <c r="E17" s="2">
        <v>9</v>
      </c>
      <c r="F17" s="2">
        <v>3.296125</v>
      </c>
      <c r="G17" s="2" t="s">
        <v>71</v>
      </c>
    </row>
    <row r="18" spans="2:7" x14ac:dyDescent="0.2">
      <c r="B18" s="2" t="s">
        <v>73</v>
      </c>
      <c r="C18" s="2" t="s">
        <v>70</v>
      </c>
      <c r="D18" s="2" t="s">
        <v>7</v>
      </c>
      <c r="E18" s="2">
        <v>9</v>
      </c>
      <c r="F18" s="2">
        <v>2.957309</v>
      </c>
      <c r="G18" s="2" t="s">
        <v>71</v>
      </c>
    </row>
    <row r="19" spans="2:7" x14ac:dyDescent="0.2">
      <c r="B19" s="2" t="s">
        <v>74</v>
      </c>
      <c r="C19" s="2" t="s">
        <v>75</v>
      </c>
      <c r="D19" s="2" t="s">
        <v>12</v>
      </c>
      <c r="E19" s="2">
        <v>14</v>
      </c>
      <c r="F19" s="2">
        <v>3.3542510000000001</v>
      </c>
      <c r="G19" s="2" t="s">
        <v>51</v>
      </c>
    </row>
    <row r="20" spans="2:7" x14ac:dyDescent="0.2">
      <c r="B20" s="2" t="s">
        <v>76</v>
      </c>
      <c r="C20" s="2" t="s">
        <v>75</v>
      </c>
      <c r="D20" s="2" t="s">
        <v>12</v>
      </c>
      <c r="E20" s="2">
        <v>14</v>
      </c>
      <c r="F20" s="2">
        <v>2.5336799999999999</v>
      </c>
      <c r="G20" s="2" t="s">
        <v>51</v>
      </c>
    </row>
    <row r="21" spans="2:7" x14ac:dyDescent="0.2">
      <c r="B21" s="2" t="s">
        <v>77</v>
      </c>
      <c r="C21" s="2" t="s">
        <v>75</v>
      </c>
      <c r="D21" s="2" t="s">
        <v>12</v>
      </c>
      <c r="E21" s="2">
        <v>14</v>
      </c>
      <c r="F21" s="2">
        <v>2.5620039999999999</v>
      </c>
      <c r="G21" s="2" t="s">
        <v>51</v>
      </c>
    </row>
    <row r="22" spans="2:7" x14ac:dyDescent="0.2">
      <c r="B22" s="2" t="s">
        <v>78</v>
      </c>
      <c r="C22" s="2" t="s">
        <v>79</v>
      </c>
      <c r="D22" s="2" t="s">
        <v>12</v>
      </c>
      <c r="E22" s="2">
        <v>2</v>
      </c>
      <c r="F22" s="2">
        <v>4.3207149999999999</v>
      </c>
      <c r="G22" s="2" t="s">
        <v>56</v>
      </c>
    </row>
    <row r="23" spans="2:7" x14ac:dyDescent="0.2">
      <c r="B23" s="2" t="s">
        <v>80</v>
      </c>
      <c r="C23" s="2" t="s">
        <v>79</v>
      </c>
      <c r="D23" s="2" t="s">
        <v>12</v>
      </c>
      <c r="E23" s="2">
        <v>2</v>
      </c>
      <c r="F23" s="2">
        <v>2.8365840000000002</v>
      </c>
      <c r="G23" s="2" t="s">
        <v>56</v>
      </c>
    </row>
    <row r="24" spans="2:7" x14ac:dyDescent="0.2">
      <c r="B24" s="2" t="s">
        <v>81</v>
      </c>
      <c r="C24" s="2" t="s">
        <v>79</v>
      </c>
      <c r="D24" s="2" t="s">
        <v>12</v>
      </c>
      <c r="E24" s="2">
        <v>2</v>
      </c>
      <c r="F24" s="2">
        <v>3.088365</v>
      </c>
      <c r="G24" s="2" t="s">
        <v>56</v>
      </c>
    </row>
    <row r="25" spans="2:7" x14ac:dyDescent="0.2">
      <c r="B25" s="2" t="s">
        <v>82</v>
      </c>
      <c r="C25" s="2" t="s">
        <v>83</v>
      </c>
      <c r="D25" s="2" t="s">
        <v>12</v>
      </c>
      <c r="E25" s="2">
        <v>23</v>
      </c>
      <c r="F25" s="2">
        <v>3.3109829999999998</v>
      </c>
      <c r="G25" s="2" t="s">
        <v>61</v>
      </c>
    </row>
    <row r="26" spans="2:7" x14ac:dyDescent="0.2">
      <c r="B26" s="2" t="s">
        <v>84</v>
      </c>
      <c r="C26" s="2" t="s">
        <v>83</v>
      </c>
      <c r="D26" s="2" t="s">
        <v>12</v>
      </c>
      <c r="E26" s="2">
        <v>23</v>
      </c>
      <c r="F26" s="2">
        <v>3.3993859999999998</v>
      </c>
      <c r="G26" s="2" t="s">
        <v>61</v>
      </c>
    </row>
    <row r="27" spans="2:7" x14ac:dyDescent="0.2">
      <c r="B27" s="2" t="s">
        <v>85</v>
      </c>
      <c r="C27" s="2" t="s">
        <v>83</v>
      </c>
      <c r="D27" s="2" t="s">
        <v>12</v>
      </c>
      <c r="E27" s="2">
        <v>23</v>
      </c>
      <c r="F27" s="2">
        <v>3.273825</v>
      </c>
      <c r="G27" s="2" t="s">
        <v>61</v>
      </c>
    </row>
    <row r="28" spans="2:7" x14ac:dyDescent="0.2">
      <c r="B28" s="2" t="s">
        <v>86</v>
      </c>
      <c r="C28" s="2" t="s">
        <v>87</v>
      </c>
      <c r="D28" s="2" t="s">
        <v>12</v>
      </c>
      <c r="E28" s="2">
        <v>4</v>
      </c>
      <c r="F28" s="2">
        <v>3.6930000000000001</v>
      </c>
      <c r="G28" s="2" t="s">
        <v>66</v>
      </c>
    </row>
    <row r="29" spans="2:7" x14ac:dyDescent="0.2">
      <c r="B29" s="2" t="s">
        <v>88</v>
      </c>
      <c r="C29" s="2" t="s">
        <v>87</v>
      </c>
      <c r="D29" s="2" t="s">
        <v>12</v>
      </c>
      <c r="E29" s="2">
        <v>4</v>
      </c>
      <c r="F29" s="2">
        <v>3.4763549999999999</v>
      </c>
      <c r="G29" s="2" t="s">
        <v>66</v>
      </c>
    </row>
    <row r="30" spans="2:7" x14ac:dyDescent="0.2">
      <c r="B30" s="2" t="s">
        <v>89</v>
      </c>
      <c r="C30" s="2" t="s">
        <v>87</v>
      </c>
      <c r="D30" s="2" t="s">
        <v>12</v>
      </c>
      <c r="E30" s="2">
        <v>4</v>
      </c>
      <c r="F30" s="2">
        <v>3.5917859999999999</v>
      </c>
      <c r="G30" s="2" t="s">
        <v>66</v>
      </c>
    </row>
    <row r="31" spans="2:7" x14ac:dyDescent="0.2">
      <c r="B31" s="2" t="s">
        <v>90</v>
      </c>
      <c r="C31" s="2" t="s">
        <v>91</v>
      </c>
      <c r="D31" s="2" t="s">
        <v>12</v>
      </c>
      <c r="E31" s="2">
        <v>9</v>
      </c>
      <c r="F31" s="2">
        <v>2.8393470000000001</v>
      </c>
      <c r="G31" s="2" t="s">
        <v>71</v>
      </c>
    </row>
    <row r="32" spans="2:7" x14ac:dyDescent="0.2">
      <c r="B32" s="2" t="s">
        <v>92</v>
      </c>
      <c r="C32" s="2" t="s">
        <v>91</v>
      </c>
      <c r="D32" s="2" t="s">
        <v>12</v>
      </c>
      <c r="E32" s="2">
        <v>9</v>
      </c>
      <c r="F32" s="2">
        <v>2.4740389999999999</v>
      </c>
      <c r="G32" s="2" t="s">
        <v>71</v>
      </c>
    </row>
    <row r="33" spans="2:7" x14ac:dyDescent="0.2">
      <c r="B33" s="3" t="s">
        <v>93</v>
      </c>
      <c r="C33" s="3" t="s">
        <v>91</v>
      </c>
      <c r="D33" s="3" t="s">
        <v>12</v>
      </c>
      <c r="E33" s="3">
        <v>9</v>
      </c>
      <c r="F33" s="3">
        <v>2.6873580000000001</v>
      </c>
      <c r="G33" s="3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32762-AD37-614E-A5BE-C037A24327F1}">
  <dimension ref="B2:AA960"/>
  <sheetViews>
    <sheetView workbookViewId="0">
      <selection activeCell="B2" sqref="B2"/>
    </sheetView>
  </sheetViews>
  <sheetFormatPr baseColWidth="10" defaultRowHeight="16" x14ac:dyDescent="0.2"/>
  <cols>
    <col min="1" max="16384" width="10.83203125" style="2"/>
  </cols>
  <sheetData>
    <row r="2" spans="2:27" x14ac:dyDescent="0.2">
      <c r="B2" s="17" t="s">
        <v>98</v>
      </c>
    </row>
    <row r="3" spans="2:27" x14ac:dyDescent="0.2">
      <c r="B3" s="16" t="s">
        <v>163</v>
      </c>
      <c r="F3" s="16" t="s">
        <v>353</v>
      </c>
      <c r="Z3" s="16" t="s">
        <v>354</v>
      </c>
    </row>
    <row r="4" spans="2:27" x14ac:dyDescent="0.2">
      <c r="B4" s="4" t="s">
        <v>99</v>
      </c>
      <c r="C4" s="4" t="s">
        <v>100</v>
      </c>
      <c r="D4" s="4" t="s">
        <v>101</v>
      </c>
      <c r="F4" s="4" t="s">
        <v>164</v>
      </c>
      <c r="G4" s="4" t="s">
        <v>165</v>
      </c>
      <c r="H4" s="4" t="s">
        <v>166</v>
      </c>
      <c r="I4" s="4" t="s">
        <v>167</v>
      </c>
      <c r="J4" s="4" t="s">
        <v>168</v>
      </c>
      <c r="K4" s="4" t="s">
        <v>169</v>
      </c>
      <c r="L4" s="4" t="s">
        <v>170</v>
      </c>
      <c r="M4" s="4" t="s">
        <v>171</v>
      </c>
      <c r="N4" s="4" t="s">
        <v>172</v>
      </c>
      <c r="O4" s="4" t="s">
        <v>173</v>
      </c>
      <c r="P4" s="4" t="s">
        <v>174</v>
      </c>
      <c r="Q4" s="4" t="s">
        <v>175</v>
      </c>
      <c r="R4" s="4" t="s">
        <v>176</v>
      </c>
      <c r="S4" s="4" t="s">
        <v>177</v>
      </c>
      <c r="T4" s="4" t="s">
        <v>178</v>
      </c>
      <c r="U4" s="4" t="s">
        <v>25</v>
      </c>
      <c r="V4" s="4" t="s">
        <v>179</v>
      </c>
      <c r="W4" s="4" t="s">
        <v>180</v>
      </c>
      <c r="X4" s="4" t="s">
        <v>181</v>
      </c>
      <c r="Z4" s="4" t="s">
        <v>94</v>
      </c>
      <c r="AA4" s="4" t="s">
        <v>2</v>
      </c>
    </row>
    <row r="5" spans="2:27" x14ac:dyDescent="0.2">
      <c r="B5" s="2" t="s">
        <v>102</v>
      </c>
      <c r="C5" s="2" t="s">
        <v>103</v>
      </c>
      <c r="D5" s="2">
        <v>0.83851726833061802</v>
      </c>
      <c r="F5" s="2" t="s">
        <v>102</v>
      </c>
      <c r="G5" s="2">
        <v>0.6</v>
      </c>
      <c r="H5" s="2">
        <v>1.4058258579252201E-3</v>
      </c>
      <c r="I5" s="2">
        <v>0.52267267267267203</v>
      </c>
      <c r="J5" s="2">
        <v>0.16512362432419</v>
      </c>
      <c r="K5" s="2">
        <v>0.55391170940699797</v>
      </c>
      <c r="L5" s="2">
        <v>0.194444444444444</v>
      </c>
      <c r="M5" s="2" t="s">
        <v>182</v>
      </c>
      <c r="N5" s="2">
        <v>7.3921971252566701E-3</v>
      </c>
      <c r="O5" s="2" t="s">
        <v>183</v>
      </c>
      <c r="P5" s="2" t="s">
        <v>184</v>
      </c>
      <c r="Q5" s="2" t="s">
        <v>185</v>
      </c>
      <c r="R5" s="2" t="s">
        <v>186</v>
      </c>
      <c r="S5" s="2" t="s">
        <v>187</v>
      </c>
      <c r="T5" s="2" t="s">
        <v>188</v>
      </c>
      <c r="U5" s="2" t="s">
        <v>189</v>
      </c>
      <c r="V5" s="2" t="s">
        <v>190</v>
      </c>
      <c r="W5" s="2" t="b">
        <v>0</v>
      </c>
      <c r="X5" s="2">
        <v>0</v>
      </c>
      <c r="Z5" s="2" t="s">
        <v>29</v>
      </c>
      <c r="AA5" s="2" t="s">
        <v>7</v>
      </c>
    </row>
    <row r="6" spans="2:27" x14ac:dyDescent="0.2">
      <c r="B6" s="2" t="s">
        <v>102</v>
      </c>
      <c r="C6" s="2" t="s">
        <v>104</v>
      </c>
      <c r="D6" s="2">
        <v>0.72693083627969401</v>
      </c>
      <c r="F6" s="2" t="s">
        <v>144</v>
      </c>
      <c r="G6" s="2">
        <v>0.05</v>
      </c>
      <c r="H6" s="2">
        <v>1.2329022798910801E-3</v>
      </c>
      <c r="I6" s="2">
        <v>0.37190170940170902</v>
      </c>
      <c r="J6" s="2">
        <v>9.0332908629486008E-3</v>
      </c>
      <c r="K6" s="2">
        <v>0</v>
      </c>
      <c r="L6" s="2">
        <v>0.66666666666666596</v>
      </c>
      <c r="M6" s="2" t="s">
        <v>191</v>
      </c>
      <c r="N6" s="2">
        <v>5.35934291581108E-2</v>
      </c>
      <c r="O6" s="2" t="s">
        <v>183</v>
      </c>
      <c r="P6" s="2" t="s">
        <v>184</v>
      </c>
      <c r="Q6" s="2" t="s">
        <v>192</v>
      </c>
      <c r="R6" s="2" t="s">
        <v>193</v>
      </c>
      <c r="S6" s="2" t="s">
        <v>194</v>
      </c>
      <c r="T6" s="2" t="s">
        <v>195</v>
      </c>
      <c r="U6" s="2" t="s">
        <v>196</v>
      </c>
      <c r="V6" s="2" t="s">
        <v>197</v>
      </c>
      <c r="W6" s="2" t="b">
        <v>0</v>
      </c>
      <c r="X6" s="2">
        <v>1</v>
      </c>
      <c r="Z6" s="2" t="s">
        <v>30</v>
      </c>
      <c r="AA6" s="2" t="s">
        <v>7</v>
      </c>
    </row>
    <row r="7" spans="2:27" x14ac:dyDescent="0.2">
      <c r="B7" s="2" t="s">
        <v>102</v>
      </c>
      <c r="C7" s="2" t="s">
        <v>105</v>
      </c>
      <c r="D7" s="2">
        <v>0.96661616405272199</v>
      </c>
      <c r="F7" s="2" t="s">
        <v>103</v>
      </c>
      <c r="G7" s="2">
        <v>0.53333333333333299</v>
      </c>
      <c r="H7" s="2">
        <v>1.70415987991836E-3</v>
      </c>
      <c r="I7" s="2">
        <v>0.47168021680216798</v>
      </c>
      <c r="J7" s="2">
        <v>0.14527565708804299</v>
      </c>
      <c r="K7" s="2">
        <v>0.5</v>
      </c>
      <c r="L7" s="2">
        <v>9.375E-2</v>
      </c>
      <c r="M7" s="2" t="s">
        <v>182</v>
      </c>
      <c r="N7" s="2">
        <v>7.1868583162217597E-3</v>
      </c>
      <c r="O7" s="2" t="s">
        <v>183</v>
      </c>
      <c r="P7" s="2" t="s">
        <v>184</v>
      </c>
      <c r="Q7" s="2" t="s">
        <v>185</v>
      </c>
      <c r="R7" s="2" t="s">
        <v>186</v>
      </c>
      <c r="S7" s="2" t="s">
        <v>198</v>
      </c>
      <c r="T7" s="2" t="s">
        <v>199</v>
      </c>
      <c r="U7" s="2" t="s">
        <v>200</v>
      </c>
      <c r="V7" s="2" t="s">
        <v>201</v>
      </c>
      <c r="W7" s="2" t="b">
        <v>0</v>
      </c>
      <c r="X7" s="2">
        <v>0</v>
      </c>
      <c r="Z7" s="2" t="s">
        <v>31</v>
      </c>
      <c r="AA7" s="2" t="s">
        <v>7</v>
      </c>
    </row>
    <row r="8" spans="2:27" x14ac:dyDescent="0.2">
      <c r="B8" s="2" t="s">
        <v>102</v>
      </c>
      <c r="C8" s="2" t="s">
        <v>106</v>
      </c>
      <c r="D8" s="2">
        <v>0.79373684428542002</v>
      </c>
      <c r="F8" s="2" t="s">
        <v>104</v>
      </c>
      <c r="G8" s="2">
        <v>0.56666666666666599</v>
      </c>
      <c r="H8" s="2">
        <v>3.66846250457732E-3</v>
      </c>
      <c r="I8" s="2">
        <v>0.51342182890855403</v>
      </c>
      <c r="J8" s="2">
        <v>0.153740258254387</v>
      </c>
      <c r="K8" s="2">
        <v>0.44312936752559701</v>
      </c>
      <c r="L8" s="2">
        <v>0.20588235294117599</v>
      </c>
      <c r="M8" s="2" t="s">
        <v>182</v>
      </c>
      <c r="N8" s="2">
        <v>1.5400410677618E-2</v>
      </c>
      <c r="O8" s="2" t="s">
        <v>183</v>
      </c>
      <c r="P8" s="2" t="s">
        <v>184</v>
      </c>
      <c r="Q8" s="2" t="s">
        <v>192</v>
      </c>
      <c r="R8" s="2" t="s">
        <v>202</v>
      </c>
      <c r="S8" s="2" t="s">
        <v>203</v>
      </c>
      <c r="T8" s="2" t="s">
        <v>204</v>
      </c>
      <c r="U8" s="2" t="s">
        <v>205</v>
      </c>
      <c r="V8" s="2" t="s">
        <v>206</v>
      </c>
      <c r="W8" s="2" t="b">
        <v>0</v>
      </c>
      <c r="X8" s="2">
        <v>0</v>
      </c>
      <c r="Z8" s="2" t="s">
        <v>26</v>
      </c>
      <c r="AA8" s="2" t="s">
        <v>12</v>
      </c>
    </row>
    <row r="9" spans="2:27" x14ac:dyDescent="0.2">
      <c r="B9" s="2" t="s">
        <v>102</v>
      </c>
      <c r="C9" s="2" t="s">
        <v>107</v>
      </c>
      <c r="D9" s="2">
        <v>0.85765871492943302</v>
      </c>
      <c r="F9" s="2" t="s">
        <v>145</v>
      </c>
      <c r="G9" s="2">
        <v>1.6666666666666601E-2</v>
      </c>
      <c r="H9" s="2">
        <v>0</v>
      </c>
      <c r="I9" s="2">
        <v>0.17688008130081201</v>
      </c>
      <c r="J9" s="18">
        <v>1.36971434406106E-8</v>
      </c>
      <c r="K9" s="2">
        <v>0</v>
      </c>
      <c r="L9" s="2">
        <v>0</v>
      </c>
      <c r="M9" s="2" t="s">
        <v>182</v>
      </c>
      <c r="N9" s="2">
        <v>4.1067761806981504E-3</v>
      </c>
      <c r="O9" s="2" t="s">
        <v>183</v>
      </c>
      <c r="P9" s="2" t="s">
        <v>184</v>
      </c>
      <c r="Q9" s="2" t="s">
        <v>207</v>
      </c>
      <c r="R9" s="2" t="s">
        <v>208</v>
      </c>
      <c r="S9" s="2" t="s">
        <v>209</v>
      </c>
      <c r="T9" s="2" t="s">
        <v>210</v>
      </c>
      <c r="U9" s="2" t="s">
        <v>211</v>
      </c>
      <c r="V9" s="2" t="s">
        <v>212</v>
      </c>
      <c r="W9" s="2" t="b">
        <v>0</v>
      </c>
      <c r="X9" s="2">
        <v>1</v>
      </c>
      <c r="Z9" s="2" t="s">
        <v>27</v>
      </c>
      <c r="AA9" s="2" t="s">
        <v>12</v>
      </c>
    </row>
    <row r="10" spans="2:27" x14ac:dyDescent="0.2">
      <c r="B10" s="2" t="s">
        <v>102</v>
      </c>
      <c r="C10" s="2" t="s">
        <v>108</v>
      </c>
      <c r="D10" s="2">
        <v>0.88198750024606798</v>
      </c>
      <c r="F10" s="2" t="s">
        <v>105</v>
      </c>
      <c r="G10" s="2">
        <v>0.61666666666666603</v>
      </c>
      <c r="H10" s="2">
        <v>1.8036326614283601E-3</v>
      </c>
      <c r="I10" s="2">
        <v>0.52742424242424202</v>
      </c>
      <c r="J10" s="2">
        <v>0.16894748800284801</v>
      </c>
      <c r="K10" s="2">
        <v>0.55391170940699797</v>
      </c>
      <c r="L10" s="2">
        <v>0.21621621621621601</v>
      </c>
      <c r="M10" s="2" t="s">
        <v>182</v>
      </c>
      <c r="N10" s="2">
        <v>1.12936344969199E-2</v>
      </c>
      <c r="O10" s="2" t="s">
        <v>183</v>
      </c>
      <c r="P10" s="2" t="s">
        <v>184</v>
      </c>
      <c r="Q10" s="2" t="s">
        <v>185</v>
      </c>
      <c r="R10" s="2" t="s">
        <v>186</v>
      </c>
      <c r="S10" s="2" t="s">
        <v>213</v>
      </c>
      <c r="T10" s="2" t="s">
        <v>214</v>
      </c>
      <c r="U10" s="2" t="s">
        <v>215</v>
      </c>
      <c r="V10" s="2" t="s">
        <v>216</v>
      </c>
      <c r="W10" s="2" t="b">
        <v>0</v>
      </c>
      <c r="X10" s="2">
        <v>0</v>
      </c>
      <c r="Z10" s="3" t="s">
        <v>28</v>
      </c>
      <c r="AA10" s="3" t="s">
        <v>12</v>
      </c>
    </row>
    <row r="11" spans="2:27" x14ac:dyDescent="0.2">
      <c r="B11" s="2" t="s">
        <v>102</v>
      </c>
      <c r="C11" s="2" t="s">
        <v>109</v>
      </c>
      <c r="D11" s="2">
        <v>0.94457512402640997</v>
      </c>
      <c r="F11" s="2" t="s">
        <v>106</v>
      </c>
      <c r="G11" s="2">
        <v>0.61666666666666603</v>
      </c>
      <c r="H11" s="2">
        <v>1.7164647152264501E-2</v>
      </c>
      <c r="I11" s="2">
        <v>0.552539682539682</v>
      </c>
      <c r="J11" s="2">
        <v>0.166355058430944</v>
      </c>
      <c r="K11" s="2">
        <v>0.70710678118654702</v>
      </c>
      <c r="L11" s="2">
        <v>0.78378378378378299</v>
      </c>
      <c r="M11" s="2" t="s">
        <v>191</v>
      </c>
      <c r="N11" s="2">
        <v>2.2587268993839799E-2</v>
      </c>
      <c r="O11" s="2" t="s">
        <v>183</v>
      </c>
      <c r="P11" s="2" t="s">
        <v>184</v>
      </c>
      <c r="Q11" s="2" t="s">
        <v>217</v>
      </c>
      <c r="R11" s="2" t="s">
        <v>218</v>
      </c>
      <c r="S11" s="2" t="s">
        <v>219</v>
      </c>
      <c r="T11" s="2" t="s">
        <v>220</v>
      </c>
      <c r="U11" s="2" t="s">
        <v>221</v>
      </c>
      <c r="V11" s="2" t="s">
        <v>222</v>
      </c>
      <c r="W11" s="2" t="b">
        <v>1</v>
      </c>
      <c r="X11" s="2">
        <v>3</v>
      </c>
    </row>
    <row r="12" spans="2:27" x14ac:dyDescent="0.2">
      <c r="B12" s="2" t="s">
        <v>102</v>
      </c>
      <c r="C12" s="2" t="s">
        <v>110</v>
      </c>
      <c r="D12" s="2">
        <v>0.67343241810102605</v>
      </c>
      <c r="F12" s="2" t="s">
        <v>107</v>
      </c>
      <c r="G12" s="2">
        <v>0.61666666666666603</v>
      </c>
      <c r="H12" s="2">
        <v>1.8036326614283601E-3</v>
      </c>
      <c r="I12" s="2">
        <v>0.52742424242424202</v>
      </c>
      <c r="J12" s="2">
        <v>0.16894748800284801</v>
      </c>
      <c r="K12" s="2">
        <v>0.55391170940699797</v>
      </c>
      <c r="L12" s="2">
        <v>0.21621621621621601</v>
      </c>
      <c r="M12" s="2" t="s">
        <v>182</v>
      </c>
      <c r="N12" s="2">
        <v>3.1827515400410601E-2</v>
      </c>
      <c r="O12" s="2" t="s">
        <v>183</v>
      </c>
      <c r="P12" s="2" t="s">
        <v>184</v>
      </c>
      <c r="Q12" s="2" t="s">
        <v>217</v>
      </c>
      <c r="R12" s="2" t="s">
        <v>223</v>
      </c>
      <c r="S12" s="2" t="s">
        <v>224</v>
      </c>
      <c r="T12" s="2" t="s">
        <v>225</v>
      </c>
      <c r="U12" s="2" t="s">
        <v>226</v>
      </c>
      <c r="V12" s="2" t="s">
        <v>227</v>
      </c>
      <c r="W12" s="2" t="b">
        <v>0</v>
      </c>
      <c r="X12" s="2">
        <v>0</v>
      </c>
    </row>
    <row r="13" spans="2:27" x14ac:dyDescent="0.2">
      <c r="B13" s="2" t="s">
        <v>102</v>
      </c>
      <c r="C13" s="2" t="s">
        <v>111</v>
      </c>
      <c r="D13" s="2">
        <v>0.85523067298348099</v>
      </c>
      <c r="F13" s="2" t="s">
        <v>154</v>
      </c>
      <c r="G13" s="2">
        <v>0.15</v>
      </c>
      <c r="H13" s="2">
        <v>5.58440639811651E-2</v>
      </c>
      <c r="I13" s="2">
        <v>0.45682414698162699</v>
      </c>
      <c r="J13" s="2">
        <v>2.4246861459446399E-2</v>
      </c>
      <c r="K13" s="2">
        <v>1.0101525445522099</v>
      </c>
      <c r="L13" s="2">
        <v>0.11111111111111099</v>
      </c>
      <c r="M13" s="2" t="s">
        <v>182</v>
      </c>
      <c r="N13" s="2">
        <v>3.0800821355236102E-3</v>
      </c>
      <c r="O13" s="2" t="s">
        <v>183</v>
      </c>
      <c r="P13" s="2" t="s">
        <v>184</v>
      </c>
      <c r="Q13" s="2" t="s">
        <v>217</v>
      </c>
      <c r="R13" s="2" t="s">
        <v>218</v>
      </c>
      <c r="S13" s="2" t="s">
        <v>219</v>
      </c>
      <c r="T13" s="2" t="s">
        <v>220</v>
      </c>
      <c r="U13" s="2" t="s">
        <v>221</v>
      </c>
      <c r="V13" s="2" t="s">
        <v>222</v>
      </c>
      <c r="W13" s="2" t="b">
        <v>0</v>
      </c>
      <c r="X13" s="2">
        <v>3</v>
      </c>
    </row>
    <row r="14" spans="2:27" x14ac:dyDescent="0.2">
      <c r="B14" s="2" t="s">
        <v>102</v>
      </c>
      <c r="C14" s="2" t="s">
        <v>112</v>
      </c>
      <c r="D14" s="2">
        <v>0.88585912037755599</v>
      </c>
      <c r="F14" s="2" t="s">
        <v>108</v>
      </c>
      <c r="G14" s="2">
        <v>0.63333333333333297</v>
      </c>
      <c r="H14" s="2">
        <v>4.8811205208475501E-3</v>
      </c>
      <c r="I14" s="2">
        <v>0.53226299694189505</v>
      </c>
      <c r="J14" s="2">
        <v>0.17031335946430401</v>
      </c>
      <c r="K14" s="2">
        <v>0.54162558909748704</v>
      </c>
      <c r="L14" s="2">
        <v>0.21052631578947301</v>
      </c>
      <c r="M14" s="2" t="s">
        <v>182</v>
      </c>
      <c r="N14" s="2">
        <v>1.6427104722792601E-2</v>
      </c>
      <c r="O14" s="2" t="s">
        <v>183</v>
      </c>
      <c r="P14" s="2" t="s">
        <v>184</v>
      </c>
      <c r="Q14" s="2" t="s">
        <v>228</v>
      </c>
      <c r="R14" s="2" t="s">
        <v>229</v>
      </c>
      <c r="S14" s="2" t="s">
        <v>230</v>
      </c>
      <c r="T14" s="2" t="s">
        <v>231</v>
      </c>
      <c r="U14" s="2" t="s">
        <v>232</v>
      </c>
      <c r="V14" s="2" t="s">
        <v>233</v>
      </c>
      <c r="W14" s="2" t="b">
        <v>0</v>
      </c>
      <c r="X14" s="2">
        <v>0</v>
      </c>
    </row>
    <row r="15" spans="2:27" x14ac:dyDescent="0.2">
      <c r="B15" s="2" t="s">
        <v>102</v>
      </c>
      <c r="C15" s="2" t="s">
        <v>113</v>
      </c>
      <c r="D15" s="2">
        <v>-0.91490566114319205</v>
      </c>
      <c r="F15" s="2" t="s">
        <v>153</v>
      </c>
      <c r="G15" s="2">
        <v>0.55000000000000004</v>
      </c>
      <c r="H15" s="2">
        <v>5.61893076520706E-2</v>
      </c>
      <c r="I15" s="2">
        <v>0.55785256410256401</v>
      </c>
      <c r="J15" s="2">
        <v>0.13884532742184399</v>
      </c>
      <c r="K15" s="2">
        <v>1.41421356237309</v>
      </c>
      <c r="L15" s="2">
        <v>0.66666666666666596</v>
      </c>
      <c r="M15" s="2" t="s">
        <v>191</v>
      </c>
      <c r="N15" s="2">
        <v>2.1560574948665302E-2</v>
      </c>
      <c r="O15" s="2" t="s">
        <v>183</v>
      </c>
      <c r="P15" s="2" t="s">
        <v>184</v>
      </c>
      <c r="Q15" s="2" t="s">
        <v>217</v>
      </c>
      <c r="R15" s="2" t="s">
        <v>218</v>
      </c>
      <c r="S15" s="2" t="s">
        <v>219</v>
      </c>
      <c r="T15" s="2" t="s">
        <v>220</v>
      </c>
      <c r="U15" s="2" t="s">
        <v>221</v>
      </c>
      <c r="V15" s="2" t="s">
        <v>222</v>
      </c>
      <c r="W15" s="2" t="b">
        <v>1</v>
      </c>
      <c r="X15" s="2">
        <v>3</v>
      </c>
    </row>
    <row r="16" spans="2:27" x14ac:dyDescent="0.2">
      <c r="B16" s="2" t="s">
        <v>102</v>
      </c>
      <c r="C16" s="2" t="s">
        <v>114</v>
      </c>
      <c r="D16" s="2">
        <v>0.91810718192464602</v>
      </c>
      <c r="F16" s="2" t="s">
        <v>160</v>
      </c>
      <c r="G16" s="2">
        <v>6.6666666666666596E-2</v>
      </c>
      <c r="H16" s="2">
        <v>4.8476697485821197E-3</v>
      </c>
      <c r="I16" s="2">
        <v>0.331523809523809</v>
      </c>
      <c r="J16" s="2">
        <v>7.4990789514180201E-4</v>
      </c>
      <c r="K16" s="2">
        <v>0</v>
      </c>
      <c r="L16" s="2">
        <v>0.25</v>
      </c>
      <c r="M16" s="2" t="s">
        <v>182</v>
      </c>
      <c r="N16" s="2">
        <v>1.12936344969199E-2</v>
      </c>
      <c r="O16" s="2" t="s">
        <v>183</v>
      </c>
      <c r="P16" s="2" t="s">
        <v>184</v>
      </c>
      <c r="Q16" s="2" t="s">
        <v>185</v>
      </c>
      <c r="R16" s="2" t="s">
        <v>186</v>
      </c>
      <c r="S16" s="2" t="s">
        <v>198</v>
      </c>
      <c r="T16" s="2" t="s">
        <v>199</v>
      </c>
      <c r="U16" s="2" t="s">
        <v>200</v>
      </c>
      <c r="V16" s="2" t="s">
        <v>201</v>
      </c>
      <c r="W16" s="2" t="b">
        <v>0</v>
      </c>
      <c r="X16" s="2">
        <v>4</v>
      </c>
    </row>
    <row r="17" spans="2:24" x14ac:dyDescent="0.2">
      <c r="B17" s="2" t="s">
        <v>102</v>
      </c>
      <c r="C17" s="2" t="s">
        <v>115</v>
      </c>
      <c r="D17" s="2">
        <v>0.69763561090633497</v>
      </c>
      <c r="F17" s="2" t="s">
        <v>161</v>
      </c>
      <c r="G17" s="2">
        <v>0.05</v>
      </c>
      <c r="H17" s="2">
        <v>8.7591614805264895E-2</v>
      </c>
      <c r="I17" s="2">
        <v>0.26491628614916202</v>
      </c>
      <c r="J17" s="18">
        <v>1.5437860146942399E-5</v>
      </c>
      <c r="K17" s="2">
        <v>1.41421356237309</v>
      </c>
      <c r="L17" s="2">
        <v>0</v>
      </c>
      <c r="M17" s="2" t="s">
        <v>182</v>
      </c>
      <c r="N17" s="2">
        <v>9.2402464065708401E-3</v>
      </c>
      <c r="O17" s="2" t="s">
        <v>183</v>
      </c>
      <c r="P17" s="2" t="s">
        <v>184</v>
      </c>
      <c r="Q17" s="2" t="s">
        <v>192</v>
      </c>
      <c r="R17" s="2" t="s">
        <v>193</v>
      </c>
      <c r="S17" s="2" t="s">
        <v>194</v>
      </c>
      <c r="T17" s="2" t="s">
        <v>195</v>
      </c>
      <c r="U17" s="2" t="s">
        <v>234</v>
      </c>
      <c r="V17" s="2" t="s">
        <v>235</v>
      </c>
      <c r="W17" s="2" t="b">
        <v>0</v>
      </c>
      <c r="X17" s="2">
        <v>1</v>
      </c>
    </row>
    <row r="18" spans="2:24" x14ac:dyDescent="0.2">
      <c r="B18" s="2" t="s">
        <v>102</v>
      </c>
      <c r="C18" s="2" t="s">
        <v>116</v>
      </c>
      <c r="D18" s="2">
        <v>0.92711659296662996</v>
      </c>
      <c r="F18" s="2" t="s">
        <v>109</v>
      </c>
      <c r="G18" s="2">
        <v>0.63333333333333297</v>
      </c>
      <c r="H18" s="2">
        <v>4.8811205208475501E-3</v>
      </c>
      <c r="I18" s="2">
        <v>0.53226299694189505</v>
      </c>
      <c r="J18" s="2">
        <v>0.17031335946430401</v>
      </c>
      <c r="K18" s="2">
        <v>0.54162558909748704</v>
      </c>
      <c r="L18" s="2">
        <v>0.21052631578947301</v>
      </c>
      <c r="M18" s="2" t="s">
        <v>182</v>
      </c>
      <c r="N18" s="2">
        <v>1.43737166324435E-2</v>
      </c>
      <c r="O18" s="2" t="s">
        <v>183</v>
      </c>
      <c r="P18" s="2" t="s">
        <v>184</v>
      </c>
      <c r="Q18" s="2" t="s">
        <v>185</v>
      </c>
      <c r="R18" s="2" t="s">
        <v>186</v>
      </c>
      <c r="S18" s="2" t="s">
        <v>198</v>
      </c>
      <c r="T18" s="2" t="s">
        <v>199</v>
      </c>
      <c r="U18" s="2" t="s">
        <v>200</v>
      </c>
      <c r="V18" s="2" t="s">
        <v>201</v>
      </c>
      <c r="W18" s="2" t="b">
        <v>0</v>
      </c>
      <c r="X18" s="2">
        <v>0</v>
      </c>
    </row>
    <row r="19" spans="2:24" x14ac:dyDescent="0.2">
      <c r="B19" s="2" t="s">
        <v>102</v>
      </c>
      <c r="C19" s="2" t="s">
        <v>117</v>
      </c>
      <c r="D19" s="2">
        <v>-0.61144071741184003</v>
      </c>
      <c r="F19" s="2" t="s">
        <v>156</v>
      </c>
      <c r="G19" s="2">
        <v>0.16666666666666599</v>
      </c>
      <c r="H19" s="2">
        <v>0.164251622284555</v>
      </c>
      <c r="I19" s="2">
        <v>0.46413333333333301</v>
      </c>
      <c r="J19" s="2">
        <v>1.91785971361094E-2</v>
      </c>
      <c r="K19" s="2">
        <v>0.57735026918962495</v>
      </c>
      <c r="L19" s="2">
        <v>0.3</v>
      </c>
      <c r="M19" s="2" t="s">
        <v>182</v>
      </c>
      <c r="N19" s="2">
        <v>2.05338809034907E-2</v>
      </c>
      <c r="O19" s="2" t="s">
        <v>183</v>
      </c>
      <c r="P19" s="2" t="s">
        <v>184</v>
      </c>
      <c r="Q19" s="2" t="s">
        <v>236</v>
      </c>
      <c r="R19" s="2" t="s">
        <v>237</v>
      </c>
      <c r="S19" s="2" t="s">
        <v>238</v>
      </c>
      <c r="T19" s="2" t="s">
        <v>239</v>
      </c>
      <c r="U19" s="2" t="s">
        <v>240</v>
      </c>
      <c r="V19" s="2" t="s">
        <v>241</v>
      </c>
      <c r="W19" s="2" t="b">
        <v>0</v>
      </c>
      <c r="X19" s="2">
        <v>3</v>
      </c>
    </row>
    <row r="20" spans="2:24" x14ac:dyDescent="0.2">
      <c r="B20" s="2" t="s">
        <v>102</v>
      </c>
      <c r="C20" s="2" t="s">
        <v>118</v>
      </c>
      <c r="D20" s="2">
        <v>0.79477932221922598</v>
      </c>
      <c r="F20" s="2" t="s">
        <v>110</v>
      </c>
      <c r="G20" s="2">
        <v>0.58333333333333304</v>
      </c>
      <c r="H20" s="2">
        <v>2.84408374854648E-2</v>
      </c>
      <c r="I20" s="2">
        <v>0.54221183800622996</v>
      </c>
      <c r="J20" s="2">
        <v>0.15502359513327599</v>
      </c>
      <c r="K20" s="2">
        <v>0.91287092917527601</v>
      </c>
      <c r="L20" s="2">
        <v>0.74285714285714199</v>
      </c>
      <c r="M20" s="2" t="s">
        <v>191</v>
      </c>
      <c r="N20" s="2">
        <v>2.2381930184804898E-2</v>
      </c>
      <c r="O20" s="2" t="s">
        <v>183</v>
      </c>
      <c r="P20" s="2" t="s">
        <v>184</v>
      </c>
      <c r="Q20" s="2" t="s">
        <v>242</v>
      </c>
      <c r="R20" s="2" t="s">
        <v>243</v>
      </c>
      <c r="S20" s="2" t="s">
        <v>244</v>
      </c>
      <c r="T20" s="2" t="s">
        <v>245</v>
      </c>
      <c r="U20" s="2" t="s">
        <v>246</v>
      </c>
      <c r="V20" s="2" t="s">
        <v>247</v>
      </c>
      <c r="W20" s="2" t="b">
        <v>1</v>
      </c>
      <c r="X20" s="2">
        <v>3</v>
      </c>
    </row>
    <row r="21" spans="2:24" x14ac:dyDescent="0.2">
      <c r="B21" s="2" t="s">
        <v>102</v>
      </c>
      <c r="C21" s="2" t="s">
        <v>119</v>
      </c>
      <c r="D21" s="2">
        <v>0.71942889377897501</v>
      </c>
      <c r="F21" s="2" t="s">
        <v>111</v>
      </c>
      <c r="G21" s="2">
        <v>0.61666666666666603</v>
      </c>
      <c r="H21" s="2">
        <v>1.8036326614283601E-3</v>
      </c>
      <c r="I21" s="2">
        <v>0.52742424242424202</v>
      </c>
      <c r="J21" s="2">
        <v>0.16894748800284801</v>
      </c>
      <c r="K21" s="2">
        <v>0.55391170940699797</v>
      </c>
      <c r="L21" s="2">
        <v>0.21621621621621601</v>
      </c>
      <c r="M21" s="2" t="s">
        <v>182</v>
      </c>
      <c r="N21" s="2">
        <v>1.7453798767967099E-2</v>
      </c>
      <c r="O21" s="2" t="s">
        <v>183</v>
      </c>
      <c r="P21" s="2" t="s">
        <v>184</v>
      </c>
      <c r="Q21" s="2" t="s">
        <v>185</v>
      </c>
      <c r="R21" s="2" t="s">
        <v>248</v>
      </c>
      <c r="S21" s="2" t="s">
        <v>249</v>
      </c>
      <c r="T21" s="2" t="s">
        <v>250</v>
      </c>
      <c r="U21" s="2" t="s">
        <v>251</v>
      </c>
      <c r="V21" s="2" t="s">
        <v>252</v>
      </c>
      <c r="W21" s="2" t="b">
        <v>0</v>
      </c>
      <c r="X21" s="2">
        <v>0</v>
      </c>
    </row>
    <row r="22" spans="2:24" x14ac:dyDescent="0.2">
      <c r="B22" s="2" t="s">
        <v>102</v>
      </c>
      <c r="C22" s="2" t="s">
        <v>120</v>
      </c>
      <c r="D22" s="2">
        <v>0.93049555763358804</v>
      </c>
      <c r="F22" s="2" t="s">
        <v>112</v>
      </c>
      <c r="G22" s="2">
        <v>0.61666666666666603</v>
      </c>
      <c r="H22" s="2">
        <v>1.8036326614283601E-3</v>
      </c>
      <c r="I22" s="2">
        <v>0.52742424242424202</v>
      </c>
      <c r="J22" s="2">
        <v>0.16894748800284801</v>
      </c>
      <c r="K22" s="2">
        <v>0.55391170940699797</v>
      </c>
      <c r="L22" s="2">
        <v>0.21621621621621601</v>
      </c>
      <c r="M22" s="2" t="s">
        <v>182</v>
      </c>
      <c r="N22" s="2">
        <v>6.16016427104722E-2</v>
      </c>
      <c r="O22" s="2" t="s">
        <v>183</v>
      </c>
      <c r="P22" s="2" t="s">
        <v>184</v>
      </c>
      <c r="Q22" s="2" t="s">
        <v>253</v>
      </c>
      <c r="R22" s="2" t="s">
        <v>254</v>
      </c>
      <c r="S22" s="2" t="s">
        <v>255</v>
      </c>
      <c r="T22" s="2" t="s">
        <v>256</v>
      </c>
      <c r="U22" s="2" t="s">
        <v>257</v>
      </c>
      <c r="V22" s="2" t="s">
        <v>258</v>
      </c>
      <c r="W22" s="2" t="b">
        <v>0</v>
      </c>
      <c r="X22" s="2">
        <v>0</v>
      </c>
    </row>
    <row r="23" spans="2:24" x14ac:dyDescent="0.2">
      <c r="B23" s="2" t="s">
        <v>102</v>
      </c>
      <c r="C23" s="2" t="s">
        <v>121</v>
      </c>
      <c r="D23" s="2">
        <v>0.90130381178848695</v>
      </c>
      <c r="F23" s="2" t="s">
        <v>113</v>
      </c>
      <c r="G23" s="2">
        <v>0.05</v>
      </c>
      <c r="H23" s="2">
        <v>1.2869391199691301E-2</v>
      </c>
      <c r="I23" s="2">
        <v>0.22059569074778199</v>
      </c>
      <c r="J23" s="18">
        <v>5.5531880064960705E-7</v>
      </c>
      <c r="K23" s="2">
        <v>1.41421356237309</v>
      </c>
      <c r="L23" s="2">
        <v>0</v>
      </c>
      <c r="M23" s="2" t="s">
        <v>182</v>
      </c>
      <c r="N23" s="2">
        <v>4.1067761806981504E-3</v>
      </c>
      <c r="O23" s="2" t="s">
        <v>183</v>
      </c>
      <c r="P23" s="2" t="s">
        <v>184</v>
      </c>
      <c r="Q23" s="2" t="s">
        <v>185</v>
      </c>
      <c r="R23" s="2" t="s">
        <v>186</v>
      </c>
      <c r="S23" s="2" t="s">
        <v>259</v>
      </c>
      <c r="T23" s="2" t="s">
        <v>260</v>
      </c>
      <c r="U23" s="2" t="s">
        <v>261</v>
      </c>
      <c r="V23" s="2" t="s">
        <v>262</v>
      </c>
      <c r="W23" s="2" t="b">
        <v>0</v>
      </c>
      <c r="X23" s="2">
        <v>1</v>
      </c>
    </row>
    <row r="24" spans="2:24" x14ac:dyDescent="0.2">
      <c r="B24" s="2" t="s">
        <v>102</v>
      </c>
      <c r="C24" s="2" t="s">
        <v>122</v>
      </c>
      <c r="D24" s="2">
        <v>0.75283460627116405</v>
      </c>
      <c r="F24" s="2" t="s">
        <v>148</v>
      </c>
      <c r="G24" s="2">
        <v>0.133333333333333</v>
      </c>
      <c r="H24" s="2">
        <v>8.0287374998461697E-2</v>
      </c>
      <c r="I24" s="2">
        <v>0.34533730158730103</v>
      </c>
      <c r="J24" s="2">
        <v>1.47791551573563E-3</v>
      </c>
      <c r="K24" s="2">
        <v>1.5275252316519401</v>
      </c>
      <c r="L24" s="2">
        <v>0.25</v>
      </c>
      <c r="M24" s="2" t="s">
        <v>182</v>
      </c>
      <c r="N24" s="2">
        <v>6.1601642710472203E-3</v>
      </c>
      <c r="O24" s="2" t="s">
        <v>183</v>
      </c>
      <c r="P24" s="2" t="s">
        <v>184</v>
      </c>
      <c r="Q24" s="2" t="s">
        <v>185</v>
      </c>
      <c r="R24" s="2" t="s">
        <v>248</v>
      </c>
      <c r="S24" s="2" t="s">
        <v>263</v>
      </c>
      <c r="T24" s="2" t="s">
        <v>264</v>
      </c>
      <c r="U24" s="2" t="s">
        <v>265</v>
      </c>
      <c r="V24" s="2" t="s">
        <v>266</v>
      </c>
      <c r="W24" s="2" t="b">
        <v>0</v>
      </c>
      <c r="X24" s="2">
        <v>4</v>
      </c>
    </row>
    <row r="25" spans="2:24" x14ac:dyDescent="0.2">
      <c r="B25" s="2" t="s">
        <v>102</v>
      </c>
      <c r="C25" s="2" t="s">
        <v>123</v>
      </c>
      <c r="D25" s="2">
        <v>0.92711659296662996</v>
      </c>
      <c r="F25" s="2" t="s">
        <v>149</v>
      </c>
      <c r="G25" s="2">
        <v>0.1</v>
      </c>
      <c r="H25" s="2">
        <v>1.7794628288800199E-2</v>
      </c>
      <c r="I25" s="2">
        <v>0.347405189620758</v>
      </c>
      <c r="J25" s="2">
        <v>1.3356552741431401E-3</v>
      </c>
      <c r="K25" s="2">
        <v>0.81649658092772504</v>
      </c>
      <c r="L25" s="2">
        <v>0.33333333333333298</v>
      </c>
      <c r="M25" s="2" t="s">
        <v>182</v>
      </c>
      <c r="N25" s="2">
        <v>6.9815195071868596E-3</v>
      </c>
      <c r="O25" s="2" t="s">
        <v>183</v>
      </c>
      <c r="P25" s="2" t="s">
        <v>184</v>
      </c>
      <c r="Q25" s="2" t="s">
        <v>267</v>
      </c>
      <c r="R25" s="2" t="s">
        <v>268</v>
      </c>
      <c r="S25" s="2" t="s">
        <v>269</v>
      </c>
      <c r="T25" s="2" t="s">
        <v>270</v>
      </c>
      <c r="U25" s="2" t="s">
        <v>271</v>
      </c>
      <c r="V25" s="2" t="s">
        <v>272</v>
      </c>
      <c r="W25" s="2" t="b">
        <v>0</v>
      </c>
      <c r="X25" s="2">
        <v>4</v>
      </c>
    </row>
    <row r="26" spans="2:24" x14ac:dyDescent="0.2">
      <c r="B26" s="2" t="s">
        <v>102</v>
      </c>
      <c r="C26" s="2" t="s">
        <v>124</v>
      </c>
      <c r="D26" s="2">
        <v>0.92861141157037697</v>
      </c>
      <c r="F26" s="2" t="s">
        <v>114</v>
      </c>
      <c r="G26" s="2">
        <v>0.61666666666666603</v>
      </c>
      <c r="H26" s="2">
        <v>1.8036326614283601E-3</v>
      </c>
      <c r="I26" s="2">
        <v>0.52742424242424202</v>
      </c>
      <c r="J26" s="2">
        <v>0.16894748800284801</v>
      </c>
      <c r="K26" s="2">
        <v>0.55391170940699797</v>
      </c>
      <c r="L26" s="2">
        <v>0.21621621621621601</v>
      </c>
      <c r="M26" s="2" t="s">
        <v>182</v>
      </c>
      <c r="N26" s="2">
        <v>2.36139630390143E-2</v>
      </c>
      <c r="O26" s="2" t="s">
        <v>183</v>
      </c>
      <c r="P26" s="2" t="s">
        <v>184</v>
      </c>
      <c r="Q26" s="2" t="s">
        <v>185</v>
      </c>
      <c r="R26" s="2" t="s">
        <v>186</v>
      </c>
      <c r="S26" s="2" t="s">
        <v>273</v>
      </c>
      <c r="T26" s="2" t="s">
        <v>274</v>
      </c>
      <c r="U26" s="2" t="s">
        <v>275</v>
      </c>
      <c r="V26" s="2" t="s">
        <v>276</v>
      </c>
      <c r="W26" s="2" t="b">
        <v>0</v>
      </c>
      <c r="X26" s="2">
        <v>0</v>
      </c>
    </row>
    <row r="27" spans="2:24" x14ac:dyDescent="0.2">
      <c r="B27" s="2" t="s">
        <v>102</v>
      </c>
      <c r="C27" s="2" t="s">
        <v>125</v>
      </c>
      <c r="D27" s="2">
        <v>0.68767882082510701</v>
      </c>
      <c r="F27" s="2" t="s">
        <v>115</v>
      </c>
      <c r="G27" s="2">
        <v>0.56666666666666599</v>
      </c>
      <c r="H27" s="2">
        <v>1.0448083083412099E-3</v>
      </c>
      <c r="I27" s="2">
        <v>0.50014367816091898</v>
      </c>
      <c r="J27" s="2">
        <v>0.156620990981123</v>
      </c>
      <c r="K27" s="2">
        <v>0.36667939881128597</v>
      </c>
      <c r="L27" s="2">
        <v>0.23529411764705799</v>
      </c>
      <c r="M27" s="2" t="s">
        <v>182</v>
      </c>
      <c r="N27" s="2">
        <v>1.6427104722792601E-2</v>
      </c>
      <c r="O27" s="2" t="s">
        <v>183</v>
      </c>
      <c r="P27" s="2" t="s">
        <v>184</v>
      </c>
      <c r="Q27" s="2" t="s">
        <v>185</v>
      </c>
      <c r="R27" s="2" t="s">
        <v>248</v>
      </c>
      <c r="S27" s="2" t="s">
        <v>249</v>
      </c>
      <c r="T27" s="2" t="s">
        <v>250</v>
      </c>
      <c r="U27" s="2" t="s">
        <v>251</v>
      </c>
      <c r="V27" s="2" t="s">
        <v>252</v>
      </c>
      <c r="W27" s="2" t="b">
        <v>0</v>
      </c>
      <c r="X27" s="2">
        <v>0</v>
      </c>
    </row>
    <row r="28" spans="2:24" x14ac:dyDescent="0.2">
      <c r="B28" s="2" t="s">
        <v>102</v>
      </c>
      <c r="C28" s="2" t="s">
        <v>126</v>
      </c>
      <c r="D28" s="2">
        <v>-0.92488575595580702</v>
      </c>
      <c r="F28" s="2" t="s">
        <v>116</v>
      </c>
      <c r="G28" s="2">
        <v>0.61666666666666603</v>
      </c>
      <c r="H28" s="2">
        <v>1.8036326614283601E-3</v>
      </c>
      <c r="I28" s="2">
        <v>0.52742424242424202</v>
      </c>
      <c r="J28" s="2">
        <v>0.16894748800284801</v>
      </c>
      <c r="K28" s="2">
        <v>0.55391170940699797</v>
      </c>
      <c r="L28" s="2">
        <v>0.21621621621621601</v>
      </c>
      <c r="M28" s="2" t="s">
        <v>182</v>
      </c>
      <c r="N28" s="2">
        <v>0</v>
      </c>
      <c r="O28" s="2" t="s">
        <v>183</v>
      </c>
      <c r="P28" s="2" t="s">
        <v>184</v>
      </c>
      <c r="Q28" s="2" t="s">
        <v>185</v>
      </c>
      <c r="R28" s="2" t="s">
        <v>248</v>
      </c>
      <c r="S28" s="2" t="s">
        <v>263</v>
      </c>
      <c r="T28" s="2" t="s">
        <v>277</v>
      </c>
      <c r="U28" s="2" t="s">
        <v>278</v>
      </c>
      <c r="V28" s="2" t="s">
        <v>279</v>
      </c>
      <c r="W28" s="2" t="b">
        <v>0</v>
      </c>
      <c r="X28" s="2">
        <v>0</v>
      </c>
    </row>
    <row r="29" spans="2:24" x14ac:dyDescent="0.2">
      <c r="B29" s="2" t="s">
        <v>102</v>
      </c>
      <c r="C29" s="2" t="s">
        <v>127</v>
      </c>
      <c r="D29" s="2">
        <v>0.91126067450009995</v>
      </c>
      <c r="F29" s="2" t="s">
        <v>117</v>
      </c>
      <c r="G29" s="2">
        <v>0.05</v>
      </c>
      <c r="H29" s="2">
        <v>0</v>
      </c>
      <c r="I29" s="2">
        <v>0.21729088639201</v>
      </c>
      <c r="J29" s="18">
        <v>7.4322017331673898E-6</v>
      </c>
      <c r="K29" s="2">
        <v>0</v>
      </c>
      <c r="L29" s="2">
        <v>0</v>
      </c>
      <c r="M29" s="2" t="s">
        <v>182</v>
      </c>
      <c r="N29" s="2">
        <v>2.79260780287474E-2</v>
      </c>
      <c r="O29" s="2" t="s">
        <v>183</v>
      </c>
      <c r="P29" s="2" t="s">
        <v>184</v>
      </c>
      <c r="Q29" s="2" t="s">
        <v>185</v>
      </c>
      <c r="R29" s="2" t="s">
        <v>248</v>
      </c>
      <c r="S29" s="2" t="s">
        <v>249</v>
      </c>
      <c r="T29" s="2" t="s">
        <v>250</v>
      </c>
      <c r="U29" s="2" t="s">
        <v>251</v>
      </c>
      <c r="V29" s="2" t="s">
        <v>252</v>
      </c>
      <c r="W29" s="2" t="b">
        <v>0</v>
      </c>
      <c r="X29" s="2">
        <v>4</v>
      </c>
    </row>
    <row r="30" spans="2:24" x14ac:dyDescent="0.2">
      <c r="B30" s="2" t="s">
        <v>102</v>
      </c>
      <c r="C30" s="2" t="s">
        <v>128</v>
      </c>
      <c r="D30" s="2">
        <v>0.86994756386852701</v>
      </c>
      <c r="F30" s="2" t="s">
        <v>118</v>
      </c>
      <c r="G30" s="2">
        <v>0.43333333333333302</v>
      </c>
      <c r="H30" s="2">
        <v>1.0885164292905401E-3</v>
      </c>
      <c r="I30" s="2">
        <v>0.423479318734793</v>
      </c>
      <c r="J30" s="2">
        <v>0.118382896949514</v>
      </c>
      <c r="K30" s="2">
        <v>0.475830951430886</v>
      </c>
      <c r="L30" s="2">
        <v>0</v>
      </c>
      <c r="M30" s="2" t="s">
        <v>182</v>
      </c>
      <c r="N30" s="2">
        <v>9.2402464065708401E-3</v>
      </c>
      <c r="O30" s="2" t="s">
        <v>183</v>
      </c>
      <c r="P30" s="2" t="s">
        <v>184</v>
      </c>
      <c r="Q30" s="2" t="s">
        <v>185</v>
      </c>
      <c r="R30" s="2" t="s">
        <v>248</v>
      </c>
      <c r="S30" s="2" t="s">
        <v>263</v>
      </c>
      <c r="T30" s="2" t="s">
        <v>280</v>
      </c>
      <c r="U30" s="2" t="s">
        <v>281</v>
      </c>
      <c r="V30" s="2" t="s">
        <v>282</v>
      </c>
      <c r="W30" s="2" t="b">
        <v>0</v>
      </c>
      <c r="X30" s="2">
        <v>0</v>
      </c>
    </row>
    <row r="31" spans="2:24" x14ac:dyDescent="0.2">
      <c r="B31" s="2" t="s">
        <v>102</v>
      </c>
      <c r="C31" s="2" t="s">
        <v>129</v>
      </c>
      <c r="D31" s="2">
        <v>0.87444291963130905</v>
      </c>
      <c r="F31" s="2" t="s">
        <v>119</v>
      </c>
      <c r="G31" s="2">
        <v>0.61666666666666603</v>
      </c>
      <c r="H31" s="2">
        <v>7.2743969552725996E-2</v>
      </c>
      <c r="I31" s="2">
        <v>0.58016666666666605</v>
      </c>
      <c r="J31" s="2">
        <v>0.15597184275065901</v>
      </c>
      <c r="K31" s="2">
        <v>1.41421356237309</v>
      </c>
      <c r="L31" s="2">
        <v>0.70270270270270196</v>
      </c>
      <c r="M31" s="2" t="s">
        <v>191</v>
      </c>
      <c r="N31" s="2">
        <v>9.0349075975359305E-3</v>
      </c>
      <c r="O31" s="2" t="s">
        <v>183</v>
      </c>
      <c r="P31" s="2" t="s">
        <v>184</v>
      </c>
      <c r="Q31" s="2" t="s">
        <v>283</v>
      </c>
      <c r="R31" s="2" t="s">
        <v>284</v>
      </c>
      <c r="S31" s="2" t="s">
        <v>285</v>
      </c>
      <c r="T31" s="2" t="s">
        <v>286</v>
      </c>
      <c r="U31" s="2" t="s">
        <v>287</v>
      </c>
      <c r="V31" s="2" t="s">
        <v>288</v>
      </c>
      <c r="W31" s="2" t="b">
        <v>0</v>
      </c>
      <c r="X31" s="2">
        <v>3</v>
      </c>
    </row>
    <row r="32" spans="2:24" x14ac:dyDescent="0.2">
      <c r="B32" s="2" t="s">
        <v>102</v>
      </c>
      <c r="C32" s="2" t="s">
        <v>130</v>
      </c>
      <c r="D32" s="2">
        <v>0.60666016474165996</v>
      </c>
      <c r="F32" s="2" t="s">
        <v>150</v>
      </c>
      <c r="G32" s="2">
        <v>0.116666666666666</v>
      </c>
      <c r="H32" s="2">
        <v>2.6692502018201801E-2</v>
      </c>
      <c r="I32" s="2">
        <v>0.27496050552922502</v>
      </c>
      <c r="J32" s="2">
        <v>1.6319536717708199E-4</v>
      </c>
      <c r="K32" s="2">
        <v>1.9756583222945201</v>
      </c>
      <c r="L32" s="2">
        <v>0</v>
      </c>
      <c r="M32" s="2" t="s">
        <v>182</v>
      </c>
      <c r="N32" s="2">
        <v>1.5400410677618E-2</v>
      </c>
      <c r="O32" s="2" t="s">
        <v>183</v>
      </c>
      <c r="P32" s="2" t="s">
        <v>184</v>
      </c>
      <c r="Q32" s="2" t="s">
        <v>185</v>
      </c>
      <c r="R32" s="2" t="s">
        <v>186</v>
      </c>
      <c r="S32" s="2" t="s">
        <v>198</v>
      </c>
      <c r="T32" s="2" t="s">
        <v>199</v>
      </c>
      <c r="U32" s="2" t="s">
        <v>200</v>
      </c>
      <c r="V32" s="2" t="s">
        <v>201</v>
      </c>
      <c r="W32" s="2" t="b">
        <v>0</v>
      </c>
      <c r="X32" s="2">
        <v>4</v>
      </c>
    </row>
    <row r="33" spans="2:24" x14ac:dyDescent="0.2">
      <c r="B33" s="2" t="s">
        <v>102</v>
      </c>
      <c r="C33" s="2" t="s">
        <v>131</v>
      </c>
      <c r="D33" s="2">
        <v>0.93112046280816396</v>
      </c>
      <c r="F33" s="2" t="s">
        <v>120</v>
      </c>
      <c r="G33" s="2">
        <v>0.56666666666666599</v>
      </c>
      <c r="H33" s="2">
        <v>9.6274367671099495E-2</v>
      </c>
      <c r="I33" s="2">
        <v>0.52742424242424202</v>
      </c>
      <c r="J33" s="2">
        <v>0.14856982873042299</v>
      </c>
      <c r="K33" s="2">
        <v>0.44536177141512501</v>
      </c>
      <c r="L33" s="2">
        <v>0.17647058823529399</v>
      </c>
      <c r="M33" s="2" t="s">
        <v>182</v>
      </c>
      <c r="N33" s="2">
        <v>1.2320328542094401E-2</v>
      </c>
      <c r="O33" s="2" t="s">
        <v>183</v>
      </c>
      <c r="P33" s="2" t="s">
        <v>184</v>
      </c>
      <c r="Q33" s="2" t="s">
        <v>283</v>
      </c>
      <c r="R33" s="2" t="s">
        <v>284</v>
      </c>
      <c r="S33" s="2" t="s">
        <v>285</v>
      </c>
      <c r="T33" s="2" t="s">
        <v>286</v>
      </c>
      <c r="U33" s="2" t="s">
        <v>287</v>
      </c>
      <c r="V33" s="2" t="s">
        <v>288</v>
      </c>
      <c r="W33" s="2" t="b">
        <v>0</v>
      </c>
      <c r="X33" s="2">
        <v>0</v>
      </c>
    </row>
    <row r="34" spans="2:24" x14ac:dyDescent="0.2">
      <c r="B34" s="2" t="s">
        <v>102</v>
      </c>
      <c r="C34" s="2" t="s">
        <v>132</v>
      </c>
      <c r="D34" s="2">
        <v>0.90612744084994301</v>
      </c>
      <c r="F34" s="2" t="s">
        <v>162</v>
      </c>
      <c r="G34" s="2">
        <v>3.3333333333333298E-2</v>
      </c>
      <c r="H34" s="2">
        <v>0.11405112516308</v>
      </c>
      <c r="I34" s="2">
        <v>0.33730620155038699</v>
      </c>
      <c r="J34" s="2">
        <v>5.4365548390674105E-4</v>
      </c>
      <c r="K34" s="2">
        <v>0</v>
      </c>
      <c r="L34" s="2">
        <v>0.5</v>
      </c>
      <c r="M34" s="2" t="s">
        <v>182</v>
      </c>
      <c r="N34" s="2">
        <v>1.2320328542094401E-2</v>
      </c>
      <c r="O34" s="2" t="s">
        <v>183</v>
      </c>
      <c r="P34" s="2" t="s">
        <v>184</v>
      </c>
      <c r="Q34" s="2" t="s">
        <v>242</v>
      </c>
      <c r="R34" s="2" t="s">
        <v>243</v>
      </c>
      <c r="S34" s="2" t="s">
        <v>289</v>
      </c>
      <c r="T34" s="2" t="s">
        <v>290</v>
      </c>
      <c r="U34" s="2" t="s">
        <v>291</v>
      </c>
      <c r="V34" s="2" t="s">
        <v>292</v>
      </c>
      <c r="W34" s="2" t="b">
        <v>0</v>
      </c>
      <c r="X34" s="2">
        <v>1</v>
      </c>
    </row>
    <row r="35" spans="2:24" x14ac:dyDescent="0.2">
      <c r="B35" s="2" t="s">
        <v>102</v>
      </c>
      <c r="C35" s="2" t="s">
        <v>133</v>
      </c>
      <c r="D35" s="2">
        <v>0.89546262138426702</v>
      </c>
      <c r="F35" s="2" t="s">
        <v>121</v>
      </c>
      <c r="G35" s="2">
        <v>0.61666666666666603</v>
      </c>
      <c r="H35" s="2">
        <v>1.8036326614283601E-3</v>
      </c>
      <c r="I35" s="2">
        <v>0.52742424242424202</v>
      </c>
      <c r="J35" s="2">
        <v>0.16894748800284801</v>
      </c>
      <c r="K35" s="2">
        <v>0.55391170940699797</v>
      </c>
      <c r="L35" s="2">
        <v>0.21621621621621601</v>
      </c>
      <c r="M35" s="2" t="s">
        <v>182</v>
      </c>
      <c r="N35" s="2">
        <v>2.6694045174537901E-2</v>
      </c>
      <c r="O35" s="2" t="s">
        <v>183</v>
      </c>
      <c r="P35" s="2" t="s">
        <v>184</v>
      </c>
      <c r="Q35" s="2" t="s">
        <v>185</v>
      </c>
      <c r="R35" s="2" t="s">
        <v>186</v>
      </c>
      <c r="S35" s="2" t="s">
        <v>187</v>
      </c>
      <c r="T35" s="2" t="s">
        <v>188</v>
      </c>
      <c r="U35" s="2" t="s">
        <v>293</v>
      </c>
      <c r="V35" s="2" t="s">
        <v>294</v>
      </c>
      <c r="W35" s="2" t="b">
        <v>0</v>
      </c>
      <c r="X35" s="2">
        <v>0</v>
      </c>
    </row>
    <row r="36" spans="2:24" x14ac:dyDescent="0.2">
      <c r="B36" s="2" t="s">
        <v>102</v>
      </c>
      <c r="C36" s="2" t="s">
        <v>134</v>
      </c>
      <c r="D36" s="2">
        <v>0.73328843621636897</v>
      </c>
      <c r="F36" s="2" t="s">
        <v>122</v>
      </c>
      <c r="G36" s="2">
        <v>0.63333333333333297</v>
      </c>
      <c r="H36" s="2">
        <v>2.62647023875834E-2</v>
      </c>
      <c r="I36" s="2">
        <v>0.56326860841423898</v>
      </c>
      <c r="J36" s="2">
        <v>0.167126213888172</v>
      </c>
      <c r="K36" s="2">
        <v>1</v>
      </c>
      <c r="L36" s="2">
        <v>0.76315789473684204</v>
      </c>
      <c r="M36" s="2" t="s">
        <v>191</v>
      </c>
      <c r="N36" s="2">
        <v>8.2135523613963007E-3</v>
      </c>
      <c r="O36" s="2" t="s">
        <v>183</v>
      </c>
      <c r="P36" s="2" t="s">
        <v>184</v>
      </c>
      <c r="Q36" s="2" t="s">
        <v>185</v>
      </c>
      <c r="R36" s="2" t="s">
        <v>186</v>
      </c>
      <c r="S36" s="2" t="s">
        <v>187</v>
      </c>
      <c r="T36" s="2" t="s">
        <v>188</v>
      </c>
      <c r="U36" s="2" t="s">
        <v>295</v>
      </c>
      <c r="V36" s="2" t="s">
        <v>296</v>
      </c>
      <c r="W36" s="2" t="b">
        <v>0</v>
      </c>
      <c r="X36" s="2">
        <v>3</v>
      </c>
    </row>
    <row r="37" spans="2:24" x14ac:dyDescent="0.2">
      <c r="B37" s="2" t="s">
        <v>102</v>
      </c>
      <c r="C37" s="2" t="s">
        <v>135</v>
      </c>
      <c r="D37" s="2">
        <v>0.93640986424644701</v>
      </c>
      <c r="F37" s="2" t="s">
        <v>123</v>
      </c>
      <c r="G37" s="2">
        <v>0.61666666666666603</v>
      </c>
      <c r="H37" s="2">
        <v>1.8036326614283601E-3</v>
      </c>
      <c r="I37" s="2">
        <v>0.52742424242424202</v>
      </c>
      <c r="J37" s="2">
        <v>0.16894748800284801</v>
      </c>
      <c r="K37" s="2">
        <v>0.55391170940699797</v>
      </c>
      <c r="L37" s="2">
        <v>0.21621621621621601</v>
      </c>
      <c r="M37" s="2" t="s">
        <v>182</v>
      </c>
      <c r="N37" s="2">
        <v>0</v>
      </c>
      <c r="O37" s="2" t="s">
        <v>183</v>
      </c>
      <c r="P37" s="2" t="s">
        <v>184</v>
      </c>
      <c r="Q37" s="2" t="s">
        <v>207</v>
      </c>
      <c r="R37" s="2" t="s">
        <v>208</v>
      </c>
      <c r="S37" s="2" t="s">
        <v>209</v>
      </c>
      <c r="T37" s="2" t="s">
        <v>210</v>
      </c>
      <c r="U37" s="2" t="s">
        <v>211</v>
      </c>
      <c r="V37" s="2" t="s">
        <v>297</v>
      </c>
      <c r="W37" s="2" t="b">
        <v>0</v>
      </c>
      <c r="X37" s="2">
        <v>0</v>
      </c>
    </row>
    <row r="38" spans="2:24" x14ac:dyDescent="0.2">
      <c r="B38" s="2" t="s">
        <v>102</v>
      </c>
      <c r="C38" s="2" t="s">
        <v>136</v>
      </c>
      <c r="D38" s="2">
        <v>-0.65983531383899396</v>
      </c>
      <c r="F38" s="2" t="s">
        <v>124</v>
      </c>
      <c r="G38" s="2">
        <v>0.63333333333333297</v>
      </c>
      <c r="H38" s="2">
        <v>4.8811205208475501E-3</v>
      </c>
      <c r="I38" s="2">
        <v>0.53226299694189505</v>
      </c>
      <c r="J38" s="2">
        <v>0.17031335946430401</v>
      </c>
      <c r="K38" s="2">
        <v>0.54162558909748704</v>
      </c>
      <c r="L38" s="2">
        <v>0.21052631578947301</v>
      </c>
      <c r="M38" s="2" t="s">
        <v>182</v>
      </c>
      <c r="N38" s="2">
        <v>1.3141683778233999E-2</v>
      </c>
      <c r="O38" s="2" t="s">
        <v>183</v>
      </c>
      <c r="P38" s="2" t="s">
        <v>184</v>
      </c>
      <c r="Q38" s="2" t="s">
        <v>185</v>
      </c>
      <c r="R38" s="2" t="s">
        <v>248</v>
      </c>
      <c r="S38" s="2" t="s">
        <v>298</v>
      </c>
      <c r="T38" s="2" t="s">
        <v>299</v>
      </c>
      <c r="U38" s="2" t="s">
        <v>37</v>
      </c>
      <c r="V38" s="2" t="s">
        <v>300</v>
      </c>
      <c r="W38" s="2" t="b">
        <v>0</v>
      </c>
      <c r="X38" s="2">
        <v>0</v>
      </c>
    </row>
    <row r="39" spans="2:24" x14ac:dyDescent="0.2">
      <c r="B39" s="2" t="s">
        <v>102</v>
      </c>
      <c r="C39" s="2" t="s">
        <v>137</v>
      </c>
      <c r="D39" s="2">
        <v>0.87136618049494796</v>
      </c>
      <c r="F39" s="2" t="s">
        <v>157</v>
      </c>
      <c r="G39" s="2">
        <v>0.2</v>
      </c>
      <c r="H39" s="2">
        <v>0.106233029897998</v>
      </c>
      <c r="I39" s="2">
        <v>0.46413333333333301</v>
      </c>
      <c r="J39" s="2">
        <v>2.3494440492823902E-2</v>
      </c>
      <c r="K39" s="2">
        <v>0.81649658092772603</v>
      </c>
      <c r="L39" s="2">
        <v>0.33333333333333298</v>
      </c>
      <c r="M39" s="2" t="s">
        <v>182</v>
      </c>
      <c r="N39" s="2">
        <v>8.2135523613963007E-3</v>
      </c>
      <c r="O39" s="2" t="s">
        <v>183</v>
      </c>
      <c r="P39" s="2" t="s">
        <v>184</v>
      </c>
      <c r="Q39" s="2" t="s">
        <v>185</v>
      </c>
      <c r="R39" s="2" t="s">
        <v>186</v>
      </c>
      <c r="S39" s="2" t="s">
        <v>198</v>
      </c>
      <c r="T39" s="2" t="s">
        <v>199</v>
      </c>
      <c r="U39" s="2" t="s">
        <v>200</v>
      </c>
      <c r="V39" s="2" t="s">
        <v>201</v>
      </c>
      <c r="W39" s="2" t="b">
        <v>0</v>
      </c>
      <c r="X39" s="2">
        <v>3</v>
      </c>
    </row>
    <row r="40" spans="2:24" x14ac:dyDescent="0.2">
      <c r="B40" s="2" t="s">
        <v>102</v>
      </c>
      <c r="C40" s="2" t="s">
        <v>138</v>
      </c>
      <c r="D40" s="2">
        <v>0.98729917320459004</v>
      </c>
      <c r="F40" s="2" t="s">
        <v>125</v>
      </c>
      <c r="G40" s="2">
        <v>0.58333333333333304</v>
      </c>
      <c r="H40" s="2">
        <v>9.9166466597837202E-4</v>
      </c>
      <c r="I40" s="2">
        <v>0.51800595238095204</v>
      </c>
      <c r="J40" s="2">
        <v>0.161697806281493</v>
      </c>
      <c r="K40" s="2">
        <v>0</v>
      </c>
      <c r="L40" s="2">
        <v>0.8</v>
      </c>
      <c r="M40" s="2" t="s">
        <v>191</v>
      </c>
      <c r="N40" s="2">
        <v>1.84804928131416E-2</v>
      </c>
      <c r="O40" s="2" t="s">
        <v>183</v>
      </c>
      <c r="P40" s="2" t="s">
        <v>184</v>
      </c>
      <c r="Q40" s="2" t="s">
        <v>242</v>
      </c>
      <c r="R40" s="2" t="s">
        <v>243</v>
      </c>
      <c r="S40" s="2" t="s">
        <v>244</v>
      </c>
      <c r="T40" s="2" t="s">
        <v>245</v>
      </c>
      <c r="U40" s="2" t="s">
        <v>246</v>
      </c>
      <c r="V40" s="2" t="s">
        <v>301</v>
      </c>
      <c r="W40" s="2" t="b">
        <v>0</v>
      </c>
      <c r="X40" s="2">
        <v>3</v>
      </c>
    </row>
    <row r="41" spans="2:24" x14ac:dyDescent="0.2">
      <c r="B41" s="2" t="s">
        <v>102</v>
      </c>
      <c r="C41" s="2" t="s">
        <v>139</v>
      </c>
      <c r="D41" s="2">
        <v>0.94757158335501401</v>
      </c>
      <c r="F41" s="2" t="s">
        <v>126</v>
      </c>
      <c r="G41" s="2">
        <v>0.05</v>
      </c>
      <c r="H41" s="2">
        <v>3.2768361581920903E-2</v>
      </c>
      <c r="I41" s="2">
        <v>0.21487654320987601</v>
      </c>
      <c r="J41" s="18">
        <v>4.5648371653742001E-7</v>
      </c>
      <c r="K41" s="2">
        <v>1.41421356237309</v>
      </c>
      <c r="L41" s="2">
        <v>0</v>
      </c>
      <c r="M41" s="2" t="s">
        <v>182</v>
      </c>
      <c r="N41" s="2">
        <v>7.1868583162217597E-3</v>
      </c>
      <c r="O41" s="2" t="s">
        <v>183</v>
      </c>
      <c r="P41" s="2" t="s">
        <v>184</v>
      </c>
      <c r="Q41" s="2" t="s">
        <v>242</v>
      </c>
      <c r="R41" s="2" t="s">
        <v>243</v>
      </c>
      <c r="S41" s="2" t="s">
        <v>289</v>
      </c>
      <c r="T41" s="2" t="s">
        <v>290</v>
      </c>
      <c r="U41" s="2" t="s">
        <v>302</v>
      </c>
      <c r="V41" s="2" t="s">
        <v>303</v>
      </c>
      <c r="W41" s="2" t="b">
        <v>0</v>
      </c>
      <c r="X41" s="2">
        <v>1</v>
      </c>
    </row>
    <row r="42" spans="2:24" x14ac:dyDescent="0.2">
      <c r="B42" s="2" t="s">
        <v>102</v>
      </c>
      <c r="C42" s="2" t="s">
        <v>140</v>
      </c>
      <c r="D42" s="2">
        <v>0.87626578960971802</v>
      </c>
      <c r="F42" s="2" t="s">
        <v>127</v>
      </c>
      <c r="G42" s="2">
        <v>0.58333333333333304</v>
      </c>
      <c r="H42" s="2">
        <v>2.87034364691257E-3</v>
      </c>
      <c r="I42" s="2">
        <v>0.51800595238095204</v>
      </c>
      <c r="J42" s="2">
        <v>0.15815393514982001</v>
      </c>
      <c r="K42" s="2">
        <v>0.54162558909748704</v>
      </c>
      <c r="L42" s="2">
        <v>0.14285714285714199</v>
      </c>
      <c r="M42" s="2" t="s">
        <v>182</v>
      </c>
      <c r="N42" s="2">
        <v>1.9507186858316199E-2</v>
      </c>
      <c r="O42" s="2" t="s">
        <v>183</v>
      </c>
      <c r="P42" s="2" t="s">
        <v>184</v>
      </c>
      <c r="Q42" s="2" t="s">
        <v>185</v>
      </c>
      <c r="R42" s="2" t="s">
        <v>186</v>
      </c>
      <c r="S42" s="2" t="s">
        <v>198</v>
      </c>
      <c r="T42" s="2" t="s">
        <v>199</v>
      </c>
      <c r="U42" s="2" t="s">
        <v>200</v>
      </c>
      <c r="V42" s="2" t="s">
        <v>201</v>
      </c>
      <c r="W42" s="2" t="b">
        <v>0</v>
      </c>
      <c r="X42" s="2">
        <v>0</v>
      </c>
    </row>
    <row r="43" spans="2:24" x14ac:dyDescent="0.2">
      <c r="B43" s="2" t="s">
        <v>102</v>
      </c>
      <c r="C43" s="2" t="s">
        <v>141</v>
      </c>
      <c r="D43" s="2">
        <v>0.95188541242894598</v>
      </c>
      <c r="F43" s="2" t="s">
        <v>128</v>
      </c>
      <c r="G43" s="2">
        <v>0.56666666666666599</v>
      </c>
      <c r="H43" s="2">
        <v>2.2286014029772199E-3</v>
      </c>
      <c r="I43" s="2">
        <v>0.49166666666666597</v>
      </c>
      <c r="J43" s="2">
        <v>0.15385841182853499</v>
      </c>
      <c r="K43" s="2">
        <v>0.54162558909748704</v>
      </c>
      <c r="L43" s="2">
        <v>0.11764705882352899</v>
      </c>
      <c r="M43" s="2" t="s">
        <v>182</v>
      </c>
      <c r="N43" s="2">
        <v>6.1601642710472203E-3</v>
      </c>
      <c r="O43" s="2" t="s">
        <v>183</v>
      </c>
      <c r="P43" s="2" t="s">
        <v>184</v>
      </c>
      <c r="Q43" s="2" t="s">
        <v>185</v>
      </c>
      <c r="R43" s="2" t="s">
        <v>186</v>
      </c>
      <c r="S43" s="2" t="s">
        <v>198</v>
      </c>
      <c r="T43" s="2" t="s">
        <v>199</v>
      </c>
      <c r="U43" s="2" t="s">
        <v>304</v>
      </c>
      <c r="V43" s="2" t="s">
        <v>305</v>
      </c>
      <c r="W43" s="2" t="b">
        <v>0</v>
      </c>
      <c r="X43" s="2">
        <v>0</v>
      </c>
    </row>
    <row r="44" spans="2:24" x14ac:dyDescent="0.2">
      <c r="B44" s="2" t="s">
        <v>102</v>
      </c>
      <c r="C44" s="2" t="s">
        <v>142</v>
      </c>
      <c r="D44" s="2">
        <v>-0.63531933739542901</v>
      </c>
      <c r="F44" s="2" t="s">
        <v>129</v>
      </c>
      <c r="G44" s="2">
        <v>0.6</v>
      </c>
      <c r="H44" s="2">
        <v>1.09150769267672E-3</v>
      </c>
      <c r="I44" s="2">
        <v>0.52267267267267203</v>
      </c>
      <c r="J44" s="2">
        <v>0.16568724019682199</v>
      </c>
      <c r="K44" s="2">
        <v>0.43113061355922699</v>
      </c>
      <c r="L44" s="2">
        <v>0.22222222222222199</v>
      </c>
      <c r="M44" s="2" t="s">
        <v>182</v>
      </c>
      <c r="N44" s="2">
        <v>1.1498973305954801E-2</v>
      </c>
      <c r="O44" s="2" t="s">
        <v>183</v>
      </c>
      <c r="P44" s="2" t="s">
        <v>184</v>
      </c>
      <c r="Q44" s="2" t="s">
        <v>217</v>
      </c>
      <c r="R44" s="2" t="s">
        <v>306</v>
      </c>
      <c r="S44" s="2" t="s">
        <v>307</v>
      </c>
      <c r="T44" s="2" t="s">
        <v>308</v>
      </c>
      <c r="U44" s="2" t="s">
        <v>309</v>
      </c>
      <c r="V44" s="2" t="s">
        <v>310</v>
      </c>
      <c r="W44" s="2" t="b">
        <v>0</v>
      </c>
      <c r="X44" s="2">
        <v>0</v>
      </c>
    </row>
    <row r="45" spans="2:24" x14ac:dyDescent="0.2">
      <c r="B45" s="2" t="s">
        <v>102</v>
      </c>
      <c r="C45" s="2" t="s">
        <v>143</v>
      </c>
      <c r="D45" s="2">
        <v>0.86211593428966504</v>
      </c>
      <c r="F45" s="2" t="s">
        <v>130</v>
      </c>
      <c r="G45" s="2">
        <v>0.56666666666666599</v>
      </c>
      <c r="H45" s="2">
        <v>5.2842262875965398E-2</v>
      </c>
      <c r="I45" s="2">
        <v>0.56326860841423898</v>
      </c>
      <c r="J45" s="2">
        <v>0.14695903525846299</v>
      </c>
      <c r="K45" s="2">
        <v>1.14300114300171</v>
      </c>
      <c r="L45" s="2">
        <v>0.70588235294117596</v>
      </c>
      <c r="M45" s="2" t="s">
        <v>191</v>
      </c>
      <c r="N45" s="2">
        <v>7.3921971252566701E-3</v>
      </c>
      <c r="O45" s="2" t="s">
        <v>183</v>
      </c>
      <c r="P45" s="2" t="s">
        <v>184</v>
      </c>
      <c r="Q45" s="2" t="s">
        <v>185</v>
      </c>
      <c r="R45" s="2" t="s">
        <v>248</v>
      </c>
      <c r="S45" s="2" t="s">
        <v>311</v>
      </c>
      <c r="T45" s="2" t="s">
        <v>312</v>
      </c>
      <c r="U45" s="2" t="s">
        <v>313</v>
      </c>
      <c r="V45" s="2" t="s">
        <v>314</v>
      </c>
      <c r="W45" s="2" t="b">
        <v>0</v>
      </c>
      <c r="X45" s="2">
        <v>3</v>
      </c>
    </row>
    <row r="46" spans="2:24" x14ac:dyDescent="0.2">
      <c r="B46" s="2" t="s">
        <v>144</v>
      </c>
      <c r="C46" s="2" t="s">
        <v>145</v>
      </c>
      <c r="D46" s="2">
        <v>-0.87335434387072597</v>
      </c>
      <c r="F46" s="2" t="s">
        <v>158</v>
      </c>
      <c r="G46" s="2">
        <v>0.16666666666666599</v>
      </c>
      <c r="H46" s="2">
        <v>1.8733610595214899E-2</v>
      </c>
      <c r="I46" s="2">
        <v>0.45325520833333299</v>
      </c>
      <c r="J46" s="2">
        <v>2.7998866787818402E-2</v>
      </c>
      <c r="K46" s="2">
        <v>1.11803398874989</v>
      </c>
      <c r="L46" s="2">
        <v>0.1</v>
      </c>
      <c r="M46" s="2" t="s">
        <v>182</v>
      </c>
      <c r="N46" s="2">
        <v>1.00616016427104E-2</v>
      </c>
      <c r="O46" s="2" t="s">
        <v>183</v>
      </c>
      <c r="P46" s="2" t="s">
        <v>184</v>
      </c>
      <c r="Q46" s="2" t="s">
        <v>315</v>
      </c>
      <c r="R46" s="2" t="s">
        <v>316</v>
      </c>
      <c r="S46" s="2" t="s">
        <v>317</v>
      </c>
      <c r="T46" s="2" t="s">
        <v>318</v>
      </c>
      <c r="U46" s="2" t="s">
        <v>319</v>
      </c>
      <c r="V46" s="2" t="s">
        <v>320</v>
      </c>
      <c r="W46" s="2" t="b">
        <v>0</v>
      </c>
      <c r="X46" s="2">
        <v>3</v>
      </c>
    </row>
    <row r="47" spans="2:24" x14ac:dyDescent="0.2">
      <c r="B47" s="2" t="s">
        <v>144</v>
      </c>
      <c r="C47" s="2" t="s">
        <v>120</v>
      </c>
      <c r="D47" s="2">
        <v>0.64035186978488601</v>
      </c>
      <c r="F47" s="2" t="s">
        <v>131</v>
      </c>
      <c r="G47" s="2">
        <v>0.63333333333333297</v>
      </c>
      <c r="H47" s="2">
        <v>4.8811205208475501E-3</v>
      </c>
      <c r="I47" s="2">
        <v>0.53226299694189505</v>
      </c>
      <c r="J47" s="2">
        <v>0.17031335946430401</v>
      </c>
      <c r="K47" s="2">
        <v>0.54162558909748704</v>
      </c>
      <c r="L47" s="2">
        <v>0.21052631578947301</v>
      </c>
      <c r="M47" s="2" t="s">
        <v>182</v>
      </c>
      <c r="N47" s="2">
        <v>6.1601642710472203E-3</v>
      </c>
      <c r="O47" s="2" t="s">
        <v>183</v>
      </c>
      <c r="P47" s="2" t="s">
        <v>184</v>
      </c>
      <c r="Q47" s="2" t="s">
        <v>185</v>
      </c>
      <c r="R47" s="2" t="s">
        <v>186</v>
      </c>
      <c r="S47" s="2" t="s">
        <v>198</v>
      </c>
      <c r="T47" s="2" t="s">
        <v>199</v>
      </c>
      <c r="U47" s="2" t="s">
        <v>200</v>
      </c>
      <c r="V47" s="2" t="s">
        <v>201</v>
      </c>
      <c r="W47" s="2" t="b">
        <v>0</v>
      </c>
      <c r="X47" s="2">
        <v>0</v>
      </c>
    </row>
    <row r="48" spans="2:24" x14ac:dyDescent="0.2">
      <c r="B48" s="2" t="s">
        <v>144</v>
      </c>
      <c r="C48" s="2" t="s">
        <v>146</v>
      </c>
      <c r="D48" s="2">
        <v>0.80788483353186602</v>
      </c>
      <c r="F48" s="2" t="s">
        <v>132</v>
      </c>
      <c r="G48" s="2">
        <v>0.61666666666666603</v>
      </c>
      <c r="H48" s="2">
        <v>1.8036326614283601E-3</v>
      </c>
      <c r="I48" s="2">
        <v>0.52742424242424202</v>
      </c>
      <c r="J48" s="2">
        <v>0.16894748800284801</v>
      </c>
      <c r="K48" s="2">
        <v>0.55391170940699797</v>
      </c>
      <c r="L48" s="2">
        <v>0.21621621621621601</v>
      </c>
      <c r="M48" s="2" t="s">
        <v>182</v>
      </c>
      <c r="N48" s="2">
        <v>2.8747433264887001E-2</v>
      </c>
      <c r="O48" s="2" t="s">
        <v>183</v>
      </c>
      <c r="P48" s="2" t="s">
        <v>184</v>
      </c>
      <c r="Q48" s="2" t="s">
        <v>185</v>
      </c>
      <c r="R48" s="2" t="s">
        <v>248</v>
      </c>
      <c r="S48" s="2" t="s">
        <v>249</v>
      </c>
      <c r="T48" s="2" t="s">
        <v>250</v>
      </c>
      <c r="U48" s="2" t="s">
        <v>321</v>
      </c>
      <c r="V48" s="2" t="s">
        <v>322</v>
      </c>
      <c r="W48" s="2" t="b">
        <v>0</v>
      </c>
      <c r="X48" s="2">
        <v>0</v>
      </c>
    </row>
    <row r="49" spans="2:24" x14ac:dyDescent="0.2">
      <c r="B49" s="2" t="s">
        <v>144</v>
      </c>
      <c r="C49" s="2" t="s">
        <v>143</v>
      </c>
      <c r="D49" s="2">
        <v>0.61773730229245905</v>
      </c>
      <c r="F49" s="2" t="s">
        <v>151</v>
      </c>
      <c r="G49" s="2">
        <v>0.1</v>
      </c>
      <c r="H49" s="2">
        <v>2.4356725497367299E-2</v>
      </c>
      <c r="I49" s="2">
        <v>0.35161616161616099</v>
      </c>
      <c r="J49" s="2">
        <v>2.0861277001014301E-3</v>
      </c>
      <c r="K49" s="2">
        <v>0</v>
      </c>
      <c r="L49" s="2">
        <v>0.5</v>
      </c>
      <c r="M49" s="2" t="s">
        <v>182</v>
      </c>
      <c r="N49" s="2">
        <v>1.9507186858316199E-2</v>
      </c>
      <c r="O49" s="2" t="s">
        <v>183</v>
      </c>
      <c r="P49" s="2" t="s">
        <v>184</v>
      </c>
      <c r="Q49" s="2" t="s">
        <v>185</v>
      </c>
      <c r="R49" s="2" t="s">
        <v>248</v>
      </c>
      <c r="S49" s="2" t="s">
        <v>323</v>
      </c>
      <c r="T49" s="2" t="s">
        <v>324</v>
      </c>
      <c r="U49" s="2" t="s">
        <v>325</v>
      </c>
      <c r="V49" s="2" t="s">
        <v>326</v>
      </c>
      <c r="W49" s="2" t="b">
        <v>0</v>
      </c>
      <c r="X49" s="2">
        <v>4</v>
      </c>
    </row>
    <row r="50" spans="2:24" x14ac:dyDescent="0.2">
      <c r="B50" s="2" t="s">
        <v>144</v>
      </c>
      <c r="C50" s="2" t="s">
        <v>147</v>
      </c>
      <c r="D50" s="2">
        <v>-0.626627139614652</v>
      </c>
      <c r="F50" s="2" t="s">
        <v>133</v>
      </c>
      <c r="G50" s="2">
        <v>0.63333333333333297</v>
      </c>
      <c r="H50" s="2">
        <v>4.8811205208475501E-3</v>
      </c>
      <c r="I50" s="2">
        <v>0.53226299694189505</v>
      </c>
      <c r="J50" s="2">
        <v>0.17031335946430401</v>
      </c>
      <c r="K50" s="2">
        <v>0.54162558909748704</v>
      </c>
      <c r="L50" s="2">
        <v>0.21052631578947301</v>
      </c>
      <c r="M50" s="2" t="s">
        <v>182</v>
      </c>
      <c r="N50" s="2">
        <v>2.05338809034907E-2</v>
      </c>
      <c r="O50" s="2" t="s">
        <v>183</v>
      </c>
      <c r="P50" s="2" t="s">
        <v>184</v>
      </c>
      <c r="Q50" s="2" t="s">
        <v>185</v>
      </c>
      <c r="R50" s="2" t="s">
        <v>186</v>
      </c>
      <c r="S50" s="2" t="s">
        <v>198</v>
      </c>
      <c r="T50" s="2" t="s">
        <v>199</v>
      </c>
      <c r="U50" s="2" t="s">
        <v>200</v>
      </c>
      <c r="V50" s="2" t="s">
        <v>201</v>
      </c>
      <c r="W50" s="2" t="b">
        <v>0</v>
      </c>
      <c r="X50" s="2">
        <v>0</v>
      </c>
    </row>
    <row r="51" spans="2:24" x14ac:dyDescent="0.2">
      <c r="B51" s="2" t="s">
        <v>103</v>
      </c>
      <c r="C51" s="2" t="s">
        <v>104</v>
      </c>
      <c r="D51" s="2">
        <v>0.88780502243094594</v>
      </c>
      <c r="F51" s="2" t="s">
        <v>134</v>
      </c>
      <c r="G51" s="2">
        <v>0.61666666666666603</v>
      </c>
      <c r="H51" s="2">
        <v>8.5867706529292903E-2</v>
      </c>
      <c r="I51" s="2">
        <v>0.59810996563573804</v>
      </c>
      <c r="J51" s="2">
        <v>0.15570789371096899</v>
      </c>
      <c r="K51" s="2">
        <v>1.41421356237309</v>
      </c>
      <c r="L51" s="2">
        <v>0.70270270270270196</v>
      </c>
      <c r="M51" s="2" t="s">
        <v>191</v>
      </c>
      <c r="N51" s="2">
        <v>1.02669404517453E-2</v>
      </c>
      <c r="O51" s="2" t="s">
        <v>183</v>
      </c>
      <c r="P51" s="2" t="s">
        <v>184</v>
      </c>
      <c r="Q51" s="2" t="s">
        <v>315</v>
      </c>
      <c r="R51" s="2" t="s">
        <v>316</v>
      </c>
      <c r="S51" s="2" t="s">
        <v>317</v>
      </c>
      <c r="T51" s="2" t="s">
        <v>318</v>
      </c>
      <c r="U51" s="2" t="s">
        <v>319</v>
      </c>
      <c r="V51" s="2" t="s">
        <v>320</v>
      </c>
      <c r="W51" s="2" t="b">
        <v>0</v>
      </c>
      <c r="X51" s="2">
        <v>3</v>
      </c>
    </row>
    <row r="52" spans="2:24" x14ac:dyDescent="0.2">
      <c r="B52" s="2" t="s">
        <v>103</v>
      </c>
      <c r="C52" s="2" t="s">
        <v>105</v>
      </c>
      <c r="D52" s="2">
        <v>0.80794704515091498</v>
      </c>
      <c r="F52" s="2" t="s">
        <v>152</v>
      </c>
      <c r="G52" s="2">
        <v>0.18333333333333299</v>
      </c>
      <c r="H52" s="2">
        <v>0</v>
      </c>
      <c r="I52" s="2">
        <v>0.36953290870488298</v>
      </c>
      <c r="J52" s="2">
        <v>4.9596471351588803E-2</v>
      </c>
      <c r="K52" s="2">
        <v>0</v>
      </c>
      <c r="L52" s="2">
        <v>0</v>
      </c>
      <c r="M52" s="2" t="s">
        <v>182</v>
      </c>
      <c r="N52" s="2">
        <v>5.9548254620123203E-3</v>
      </c>
      <c r="O52" s="2" t="s">
        <v>183</v>
      </c>
      <c r="P52" s="2" t="s">
        <v>184</v>
      </c>
      <c r="Q52" s="2" t="s">
        <v>185</v>
      </c>
      <c r="R52" s="2" t="s">
        <v>186</v>
      </c>
      <c r="S52" s="2" t="s">
        <v>198</v>
      </c>
      <c r="T52" s="2" t="s">
        <v>199</v>
      </c>
      <c r="U52" s="2" t="s">
        <v>304</v>
      </c>
      <c r="V52" s="2" t="s">
        <v>305</v>
      </c>
      <c r="W52" s="2" t="b">
        <v>0</v>
      </c>
      <c r="X52" s="2">
        <v>0</v>
      </c>
    </row>
    <row r="53" spans="2:24" x14ac:dyDescent="0.2">
      <c r="B53" s="2" t="s">
        <v>103</v>
      </c>
      <c r="C53" s="2" t="s">
        <v>106</v>
      </c>
      <c r="D53" s="2">
        <v>0.67245022124103104</v>
      </c>
      <c r="F53" s="2" t="s">
        <v>135</v>
      </c>
      <c r="G53" s="2">
        <v>0.61666666666666603</v>
      </c>
      <c r="H53" s="2">
        <v>1.8036326614283601E-3</v>
      </c>
      <c r="I53" s="2">
        <v>0.52742424242424202</v>
      </c>
      <c r="J53" s="2">
        <v>0.16894748800284801</v>
      </c>
      <c r="K53" s="2">
        <v>0.55391170940699797</v>
      </c>
      <c r="L53" s="2">
        <v>0.21621621621621601</v>
      </c>
      <c r="M53" s="2" t="s">
        <v>182</v>
      </c>
      <c r="N53" s="2">
        <v>1.2320328542094401E-2</v>
      </c>
      <c r="O53" s="2" t="s">
        <v>183</v>
      </c>
      <c r="P53" s="2" t="s">
        <v>184</v>
      </c>
      <c r="Q53" s="2" t="s">
        <v>185</v>
      </c>
      <c r="R53" s="2" t="s">
        <v>186</v>
      </c>
      <c r="S53" s="2" t="s">
        <v>198</v>
      </c>
      <c r="T53" s="2" t="s">
        <v>199</v>
      </c>
      <c r="U53" s="2" t="s">
        <v>200</v>
      </c>
      <c r="V53" s="2" t="s">
        <v>201</v>
      </c>
      <c r="W53" s="2" t="b">
        <v>0</v>
      </c>
      <c r="X53" s="2">
        <v>0</v>
      </c>
    </row>
    <row r="54" spans="2:24" x14ac:dyDescent="0.2">
      <c r="B54" s="2" t="s">
        <v>103</v>
      </c>
      <c r="C54" s="2" t="s">
        <v>107</v>
      </c>
      <c r="D54" s="2">
        <v>0.70007720364427894</v>
      </c>
      <c r="F54" s="2" t="s">
        <v>136</v>
      </c>
      <c r="G54" s="2">
        <v>6.6666666666666596E-2</v>
      </c>
      <c r="H54" s="2">
        <v>4.7752179174527197E-3</v>
      </c>
      <c r="I54" s="2">
        <v>0.26133633633633602</v>
      </c>
      <c r="J54" s="18">
        <v>4.8182706304033401E-5</v>
      </c>
      <c r="K54" s="2">
        <v>0.81649658092772504</v>
      </c>
      <c r="L54" s="2">
        <v>0</v>
      </c>
      <c r="M54" s="2" t="s">
        <v>182</v>
      </c>
      <c r="N54" s="2">
        <v>1.2320328542094401E-2</v>
      </c>
      <c r="O54" s="2" t="s">
        <v>183</v>
      </c>
      <c r="P54" s="2" t="s">
        <v>184</v>
      </c>
      <c r="Q54" s="2" t="s">
        <v>185</v>
      </c>
      <c r="R54" s="2" t="s">
        <v>186</v>
      </c>
      <c r="S54" s="2" t="s">
        <v>198</v>
      </c>
      <c r="T54" s="2" t="s">
        <v>199</v>
      </c>
      <c r="U54" s="2" t="s">
        <v>200</v>
      </c>
      <c r="V54" s="2" t="s">
        <v>201</v>
      </c>
      <c r="W54" s="2" t="b">
        <v>0</v>
      </c>
      <c r="X54" s="2">
        <v>4</v>
      </c>
    </row>
    <row r="55" spans="2:24" x14ac:dyDescent="0.2">
      <c r="B55" s="2" t="s">
        <v>103</v>
      </c>
      <c r="C55" s="2" t="s">
        <v>108</v>
      </c>
      <c r="D55" s="2">
        <v>0.92830835171318804</v>
      </c>
      <c r="F55" s="2" t="s">
        <v>146</v>
      </c>
      <c r="G55" s="2">
        <v>0.05</v>
      </c>
      <c r="H55" s="2">
        <v>6.2220061277597598E-2</v>
      </c>
      <c r="I55" s="2">
        <v>0.37190170940170902</v>
      </c>
      <c r="J55" s="2">
        <v>4.4668817430398699E-3</v>
      </c>
      <c r="K55" s="2">
        <v>1.41421356237309</v>
      </c>
      <c r="L55" s="2">
        <v>0.33333333333333298</v>
      </c>
      <c r="M55" s="2" t="s">
        <v>182</v>
      </c>
      <c r="N55" s="2">
        <v>5.8521560574948603E-2</v>
      </c>
      <c r="O55" s="2" t="s">
        <v>183</v>
      </c>
      <c r="P55" s="2" t="s">
        <v>184</v>
      </c>
      <c r="Q55" s="2" t="s">
        <v>242</v>
      </c>
      <c r="R55" s="2" t="s">
        <v>243</v>
      </c>
      <c r="S55" s="2" t="s">
        <v>289</v>
      </c>
      <c r="T55" s="2" t="s">
        <v>290</v>
      </c>
      <c r="U55" s="2" t="s">
        <v>327</v>
      </c>
      <c r="V55" s="2" t="s">
        <v>328</v>
      </c>
      <c r="W55" s="2" t="b">
        <v>0</v>
      </c>
      <c r="X55" s="2">
        <v>1</v>
      </c>
    </row>
    <row r="56" spans="2:24" x14ac:dyDescent="0.2">
      <c r="B56" s="2" t="s">
        <v>103</v>
      </c>
      <c r="C56" s="2" t="s">
        <v>109</v>
      </c>
      <c r="D56" s="2">
        <v>0.91365327737059598</v>
      </c>
      <c r="F56" s="2" t="s">
        <v>137</v>
      </c>
      <c r="G56" s="2">
        <v>0.51666666666666605</v>
      </c>
      <c r="H56" s="2">
        <v>3.8901998509820499E-4</v>
      </c>
      <c r="I56" s="2">
        <v>0.50014367816091898</v>
      </c>
      <c r="J56" s="2">
        <v>0.14485948867638501</v>
      </c>
      <c r="K56" s="2">
        <v>0.32444284226152298</v>
      </c>
      <c r="L56" s="2">
        <v>0.12903225806451599</v>
      </c>
      <c r="M56" s="2" t="s">
        <v>182</v>
      </c>
      <c r="N56" s="2">
        <v>2.2587268993839799E-2</v>
      </c>
      <c r="O56" s="2" t="s">
        <v>183</v>
      </c>
      <c r="P56" s="2" t="s">
        <v>184</v>
      </c>
      <c r="Q56" s="2" t="s">
        <v>329</v>
      </c>
      <c r="R56" s="2" t="s">
        <v>330</v>
      </c>
      <c r="S56" s="2" t="s">
        <v>331</v>
      </c>
      <c r="T56" s="2" t="s">
        <v>332</v>
      </c>
      <c r="U56" s="2" t="s">
        <v>333</v>
      </c>
      <c r="V56" s="2" t="s">
        <v>334</v>
      </c>
      <c r="W56" s="2" t="b">
        <v>0</v>
      </c>
      <c r="X56" s="2">
        <v>0</v>
      </c>
    </row>
    <row r="57" spans="2:24" x14ac:dyDescent="0.2">
      <c r="B57" s="2" t="s">
        <v>103</v>
      </c>
      <c r="C57" s="2" t="s">
        <v>111</v>
      </c>
      <c r="D57" s="2">
        <v>0.80794160787882496</v>
      </c>
      <c r="F57" s="2" t="s">
        <v>155</v>
      </c>
      <c r="G57" s="2">
        <v>3.3333333333333298E-2</v>
      </c>
      <c r="H57" s="2">
        <v>3.5666388961213401E-2</v>
      </c>
      <c r="I57" s="2">
        <v>0.285796387520525</v>
      </c>
      <c r="J57" s="2">
        <v>1.26600608549601E-4</v>
      </c>
      <c r="K57" s="2">
        <v>1.41421356237309</v>
      </c>
      <c r="L57" s="2">
        <v>0</v>
      </c>
      <c r="M57" s="2" t="s">
        <v>182</v>
      </c>
      <c r="N57" s="2">
        <v>5.8521560574948603E-2</v>
      </c>
      <c r="O57" s="2" t="s">
        <v>183</v>
      </c>
      <c r="P57" s="2" t="s">
        <v>184</v>
      </c>
      <c r="Q57" s="2" t="s">
        <v>185</v>
      </c>
      <c r="R57" s="2" t="s">
        <v>186</v>
      </c>
      <c r="S57" s="2" t="s">
        <v>198</v>
      </c>
      <c r="T57" s="2" t="s">
        <v>199</v>
      </c>
      <c r="U57" s="2" t="s">
        <v>200</v>
      </c>
      <c r="V57" s="2" t="s">
        <v>201</v>
      </c>
      <c r="W57" s="2" t="b">
        <v>0</v>
      </c>
      <c r="X57" s="2">
        <v>1</v>
      </c>
    </row>
    <row r="58" spans="2:24" x14ac:dyDescent="0.2">
      <c r="B58" s="2" t="s">
        <v>103</v>
      </c>
      <c r="C58" s="2" t="s">
        <v>112</v>
      </c>
      <c r="D58" s="2">
        <v>0.74258929158770204</v>
      </c>
      <c r="F58" s="2" t="s">
        <v>138</v>
      </c>
      <c r="G58" s="2">
        <v>0.61666666666666603</v>
      </c>
      <c r="H58" s="2">
        <v>1.8036326614283601E-3</v>
      </c>
      <c r="I58" s="2">
        <v>0.52742424242424202</v>
      </c>
      <c r="J58" s="2">
        <v>0.16894748800284801</v>
      </c>
      <c r="K58" s="2">
        <v>0.55391170940699797</v>
      </c>
      <c r="L58" s="2">
        <v>0.21621621621621601</v>
      </c>
      <c r="M58" s="2" t="s">
        <v>182</v>
      </c>
      <c r="N58" s="2">
        <v>8.2135523613963007E-3</v>
      </c>
      <c r="O58" s="2" t="s">
        <v>183</v>
      </c>
      <c r="P58" s="2" t="s">
        <v>184</v>
      </c>
      <c r="Q58" s="2" t="s">
        <v>335</v>
      </c>
      <c r="R58" s="2" t="s">
        <v>336</v>
      </c>
      <c r="S58" s="2" t="s">
        <v>337</v>
      </c>
      <c r="T58" s="2" t="s">
        <v>338</v>
      </c>
      <c r="U58" s="2" t="s">
        <v>339</v>
      </c>
      <c r="V58" s="2" t="s">
        <v>340</v>
      </c>
      <c r="W58" s="2" t="b">
        <v>0</v>
      </c>
      <c r="X58" s="2">
        <v>0</v>
      </c>
    </row>
    <row r="59" spans="2:24" x14ac:dyDescent="0.2">
      <c r="B59" s="2" t="s">
        <v>103</v>
      </c>
      <c r="C59" s="2" t="s">
        <v>113</v>
      </c>
      <c r="D59" s="2">
        <v>-0.75621392068304305</v>
      </c>
      <c r="F59" s="2" t="s">
        <v>139</v>
      </c>
      <c r="G59" s="2">
        <v>0.61666666666666603</v>
      </c>
      <c r="H59" s="2">
        <v>1.8036326614283601E-3</v>
      </c>
      <c r="I59" s="2">
        <v>0.52742424242424202</v>
      </c>
      <c r="J59" s="2">
        <v>0.16894748800284801</v>
      </c>
      <c r="K59" s="2">
        <v>0.55391170940699797</v>
      </c>
      <c r="L59" s="2">
        <v>0.21621621621621601</v>
      </c>
      <c r="M59" s="2" t="s">
        <v>182</v>
      </c>
      <c r="N59" s="2">
        <v>4.1067761806981504E-3</v>
      </c>
      <c r="O59" s="2" t="s">
        <v>183</v>
      </c>
      <c r="P59" s="2" t="s">
        <v>184</v>
      </c>
      <c r="Q59" s="2" t="s">
        <v>329</v>
      </c>
      <c r="R59" s="2" t="s">
        <v>330</v>
      </c>
      <c r="S59" s="2" t="s">
        <v>331</v>
      </c>
      <c r="T59" s="2" t="s">
        <v>332</v>
      </c>
      <c r="U59" s="2" t="s">
        <v>333</v>
      </c>
      <c r="V59" s="2" t="s">
        <v>341</v>
      </c>
      <c r="W59" s="2" t="b">
        <v>0</v>
      </c>
      <c r="X59" s="2">
        <v>0</v>
      </c>
    </row>
    <row r="60" spans="2:24" x14ac:dyDescent="0.2">
      <c r="B60" s="2" t="s">
        <v>103</v>
      </c>
      <c r="C60" s="2" t="s">
        <v>148</v>
      </c>
      <c r="D60" s="2">
        <v>-0.727209887572141</v>
      </c>
      <c r="F60" s="2" t="s">
        <v>140</v>
      </c>
      <c r="G60" s="2">
        <v>0.58333333333333304</v>
      </c>
      <c r="H60" s="2">
        <v>1.01522076602482E-3</v>
      </c>
      <c r="I60" s="2">
        <v>0.51800595238095204</v>
      </c>
      <c r="J60" s="2">
        <v>0.16145322737306</v>
      </c>
      <c r="K60" s="2">
        <v>0.32444284226152298</v>
      </c>
      <c r="L60" s="2">
        <v>0.22857142857142801</v>
      </c>
      <c r="M60" s="2" t="s">
        <v>182</v>
      </c>
      <c r="N60" s="2">
        <v>1.7453798767967099E-2</v>
      </c>
      <c r="O60" s="2" t="s">
        <v>183</v>
      </c>
      <c r="P60" s="2" t="s">
        <v>184</v>
      </c>
      <c r="Q60" s="2" t="s">
        <v>217</v>
      </c>
      <c r="R60" s="2" t="s">
        <v>218</v>
      </c>
      <c r="S60" s="2" t="s">
        <v>219</v>
      </c>
      <c r="T60" s="2" t="s">
        <v>342</v>
      </c>
      <c r="U60" s="2" t="s">
        <v>343</v>
      </c>
      <c r="V60" s="2" t="s">
        <v>344</v>
      </c>
      <c r="W60" s="2" t="b">
        <v>0</v>
      </c>
      <c r="X60" s="2">
        <v>0</v>
      </c>
    </row>
    <row r="61" spans="2:24" x14ac:dyDescent="0.2">
      <c r="B61" s="2" t="s">
        <v>103</v>
      </c>
      <c r="C61" s="2" t="s">
        <v>149</v>
      </c>
      <c r="D61" s="2">
        <v>-0.78746830624099395</v>
      </c>
      <c r="F61" s="2" t="s">
        <v>141</v>
      </c>
      <c r="G61" s="2">
        <v>0.63333333333333297</v>
      </c>
      <c r="H61" s="2">
        <v>4.8811205208475501E-3</v>
      </c>
      <c r="I61" s="2">
        <v>0.53226299694189505</v>
      </c>
      <c r="J61" s="2">
        <v>0.17031335946430401</v>
      </c>
      <c r="K61" s="2">
        <v>0.54162558909748704</v>
      </c>
      <c r="L61" s="2">
        <v>0.21052631578947301</v>
      </c>
      <c r="M61" s="2" t="s">
        <v>182</v>
      </c>
      <c r="N61" s="2">
        <v>9.2402464065708401E-3</v>
      </c>
      <c r="O61" s="2" t="s">
        <v>183</v>
      </c>
      <c r="P61" s="2" t="s">
        <v>184</v>
      </c>
      <c r="Q61" s="2" t="s">
        <v>192</v>
      </c>
      <c r="R61" s="2" t="s">
        <v>202</v>
      </c>
      <c r="S61" s="2" t="s">
        <v>203</v>
      </c>
      <c r="T61" s="2" t="s">
        <v>204</v>
      </c>
      <c r="U61" s="2" t="s">
        <v>205</v>
      </c>
      <c r="V61" s="2" t="s">
        <v>206</v>
      </c>
      <c r="W61" s="2" t="b">
        <v>0</v>
      </c>
      <c r="X61" s="2">
        <v>0</v>
      </c>
    </row>
    <row r="62" spans="2:24" x14ac:dyDescent="0.2">
      <c r="B62" s="2" t="s">
        <v>103</v>
      </c>
      <c r="C62" s="2" t="s">
        <v>114</v>
      </c>
      <c r="D62" s="2">
        <v>0.85544420771776597</v>
      </c>
      <c r="F62" s="2" t="s">
        <v>142</v>
      </c>
      <c r="G62" s="2">
        <v>6.6666666666666596E-2</v>
      </c>
      <c r="H62" s="2">
        <v>4.7752179174527197E-3</v>
      </c>
      <c r="I62" s="2">
        <v>0.26133633633633602</v>
      </c>
      <c r="J62" s="18">
        <v>4.8182706304033401E-5</v>
      </c>
      <c r="K62" s="2">
        <v>0.81649658092772504</v>
      </c>
      <c r="L62" s="2">
        <v>0</v>
      </c>
      <c r="M62" s="2" t="s">
        <v>182</v>
      </c>
      <c r="N62" s="2">
        <v>3.4907597535934198E-2</v>
      </c>
      <c r="O62" s="2" t="s">
        <v>183</v>
      </c>
      <c r="P62" s="2" t="s">
        <v>184</v>
      </c>
      <c r="Q62" s="2" t="s">
        <v>185</v>
      </c>
      <c r="R62" s="2" t="s">
        <v>186</v>
      </c>
      <c r="S62" s="2" t="s">
        <v>198</v>
      </c>
      <c r="T62" s="2" t="s">
        <v>199</v>
      </c>
      <c r="U62" s="2" t="s">
        <v>200</v>
      </c>
      <c r="V62" s="2" t="s">
        <v>201</v>
      </c>
      <c r="W62" s="2" t="b">
        <v>0</v>
      </c>
      <c r="X62" s="2">
        <v>4</v>
      </c>
    </row>
    <row r="63" spans="2:24" x14ac:dyDescent="0.2">
      <c r="B63" s="2" t="s">
        <v>103</v>
      </c>
      <c r="C63" s="2" t="s">
        <v>116</v>
      </c>
      <c r="D63" s="2">
        <v>0.86367541693154504</v>
      </c>
      <c r="F63" s="2" t="s">
        <v>143</v>
      </c>
      <c r="G63" s="2">
        <v>0.61666666666666603</v>
      </c>
      <c r="H63" s="2">
        <v>1.8937280054215699E-2</v>
      </c>
      <c r="I63" s="2">
        <v>0.52742424242424202</v>
      </c>
      <c r="J63" s="2">
        <v>0.16593601441179401</v>
      </c>
      <c r="K63" s="2">
        <v>0.43113061355922699</v>
      </c>
      <c r="L63" s="2">
        <v>0.24324324324324301</v>
      </c>
      <c r="M63" s="2" t="s">
        <v>182</v>
      </c>
      <c r="N63" s="2">
        <v>7.1868583162217597E-3</v>
      </c>
      <c r="O63" s="2" t="s">
        <v>183</v>
      </c>
      <c r="P63" s="2" t="s">
        <v>184</v>
      </c>
      <c r="Q63" s="2" t="s">
        <v>217</v>
      </c>
      <c r="R63" s="2" t="s">
        <v>218</v>
      </c>
      <c r="S63" s="2" t="s">
        <v>219</v>
      </c>
      <c r="T63" s="2" t="s">
        <v>342</v>
      </c>
      <c r="U63" s="2" t="s">
        <v>343</v>
      </c>
      <c r="V63" s="2" t="s">
        <v>345</v>
      </c>
      <c r="W63" s="2" t="b">
        <v>0</v>
      </c>
      <c r="X63" s="2">
        <v>0</v>
      </c>
    </row>
    <row r="64" spans="2:24" x14ac:dyDescent="0.2">
      <c r="B64" s="2" t="s">
        <v>103</v>
      </c>
      <c r="C64" s="2" t="s">
        <v>117</v>
      </c>
      <c r="D64" s="2">
        <v>-0.78679744346873703</v>
      </c>
      <c r="F64" s="2" t="s">
        <v>159</v>
      </c>
      <c r="G64" s="2">
        <v>3.3333333333333298E-2</v>
      </c>
      <c r="H64" s="2">
        <v>1.3380387752272099E-2</v>
      </c>
      <c r="I64" s="2">
        <v>0.23584010840108399</v>
      </c>
      <c r="J64" s="18">
        <v>3.6015662861339899E-6</v>
      </c>
      <c r="K64" s="2">
        <v>1.41421356237309</v>
      </c>
      <c r="L64" s="2">
        <v>0</v>
      </c>
      <c r="M64" s="2" t="s">
        <v>182</v>
      </c>
      <c r="N64" s="2">
        <v>1.6632443531827499E-2</v>
      </c>
      <c r="O64" s="2" t="s">
        <v>183</v>
      </c>
      <c r="P64" s="2" t="s">
        <v>184</v>
      </c>
      <c r="Q64" s="2" t="s">
        <v>242</v>
      </c>
      <c r="R64" s="2" t="s">
        <v>243</v>
      </c>
      <c r="S64" s="2" t="s">
        <v>289</v>
      </c>
      <c r="T64" s="2" t="s">
        <v>346</v>
      </c>
      <c r="U64" s="2" t="s">
        <v>347</v>
      </c>
      <c r="V64" s="2" t="s">
        <v>348</v>
      </c>
      <c r="W64" s="2" t="b">
        <v>0</v>
      </c>
      <c r="X64" s="2">
        <v>1</v>
      </c>
    </row>
    <row r="65" spans="2:24" x14ac:dyDescent="0.2">
      <c r="B65" s="2" t="s">
        <v>103</v>
      </c>
      <c r="C65" s="2" t="s">
        <v>118</v>
      </c>
      <c r="D65" s="2">
        <v>0.73749917905685403</v>
      </c>
      <c r="F65" s="3" t="s">
        <v>147</v>
      </c>
      <c r="G65" s="3">
        <v>0</v>
      </c>
      <c r="H65" s="3">
        <v>0</v>
      </c>
      <c r="I65" s="3">
        <v>0</v>
      </c>
      <c r="J65" s="19">
        <v>5.2533822117173598E-14</v>
      </c>
      <c r="K65" s="3">
        <v>0</v>
      </c>
      <c r="L65" s="3">
        <v>0</v>
      </c>
      <c r="M65" s="3" t="s">
        <v>182</v>
      </c>
      <c r="N65" s="3">
        <v>1.5400410677618E-2</v>
      </c>
      <c r="O65" s="3" t="s">
        <v>183</v>
      </c>
      <c r="P65" s="3" t="s">
        <v>184</v>
      </c>
      <c r="Q65" s="3" t="s">
        <v>185</v>
      </c>
      <c r="R65" s="3" t="s">
        <v>248</v>
      </c>
      <c r="S65" s="3" t="s">
        <v>349</v>
      </c>
      <c r="T65" s="3" t="s">
        <v>350</v>
      </c>
      <c r="U65" s="3" t="s">
        <v>351</v>
      </c>
      <c r="V65" s="3" t="s">
        <v>352</v>
      </c>
      <c r="W65" s="3" t="b">
        <v>0</v>
      </c>
      <c r="X65" s="3">
        <v>2</v>
      </c>
    </row>
    <row r="66" spans="2:24" x14ac:dyDescent="0.2">
      <c r="B66" s="2" t="s">
        <v>103</v>
      </c>
      <c r="C66" s="2" t="s">
        <v>150</v>
      </c>
      <c r="D66" s="2">
        <v>-0.75656146462004903</v>
      </c>
    </row>
    <row r="67" spans="2:24" x14ac:dyDescent="0.2">
      <c r="B67" s="2" t="s">
        <v>103</v>
      </c>
      <c r="C67" s="2" t="s">
        <v>120</v>
      </c>
      <c r="D67" s="2">
        <v>0.90843864683625697</v>
      </c>
    </row>
    <row r="68" spans="2:24" x14ac:dyDescent="0.2">
      <c r="B68" s="2" t="s">
        <v>103</v>
      </c>
      <c r="C68" s="2" t="s">
        <v>121</v>
      </c>
      <c r="D68" s="2">
        <v>0.84535591611013505</v>
      </c>
    </row>
    <row r="69" spans="2:24" x14ac:dyDescent="0.2">
      <c r="B69" s="2" t="s">
        <v>103</v>
      </c>
      <c r="C69" s="2" t="s">
        <v>122</v>
      </c>
      <c r="D69" s="2">
        <v>0.63665898412019195</v>
      </c>
    </row>
    <row r="70" spans="2:24" x14ac:dyDescent="0.2">
      <c r="B70" s="2" t="s">
        <v>103</v>
      </c>
      <c r="C70" s="2" t="s">
        <v>123</v>
      </c>
      <c r="D70" s="2">
        <v>0.86367541693154504</v>
      </c>
    </row>
    <row r="71" spans="2:24" x14ac:dyDescent="0.2">
      <c r="B71" s="2" t="s">
        <v>103</v>
      </c>
      <c r="C71" s="2" t="s">
        <v>124</v>
      </c>
      <c r="D71" s="2">
        <v>0.93412575224454897</v>
      </c>
    </row>
    <row r="72" spans="2:24" x14ac:dyDescent="0.2">
      <c r="B72" s="2" t="s">
        <v>103</v>
      </c>
      <c r="C72" s="2" t="s">
        <v>125</v>
      </c>
      <c r="D72" s="2">
        <v>0.63184821006366498</v>
      </c>
    </row>
    <row r="73" spans="2:24" x14ac:dyDescent="0.2">
      <c r="B73" s="2" t="s">
        <v>103</v>
      </c>
      <c r="C73" s="2" t="s">
        <v>126</v>
      </c>
      <c r="D73" s="2">
        <v>-0.74490607735203096</v>
      </c>
    </row>
    <row r="74" spans="2:24" x14ac:dyDescent="0.2">
      <c r="B74" s="2" t="s">
        <v>103</v>
      </c>
      <c r="C74" s="2" t="s">
        <v>127</v>
      </c>
      <c r="D74" s="2">
        <v>0.94957283414500904</v>
      </c>
    </row>
    <row r="75" spans="2:24" x14ac:dyDescent="0.2">
      <c r="B75" s="2" t="s">
        <v>103</v>
      </c>
      <c r="C75" s="2" t="s">
        <v>128</v>
      </c>
      <c r="D75" s="2">
        <v>0.96273107013967896</v>
      </c>
    </row>
    <row r="76" spans="2:24" x14ac:dyDescent="0.2">
      <c r="B76" s="2" t="s">
        <v>103</v>
      </c>
      <c r="C76" s="2" t="s">
        <v>129</v>
      </c>
      <c r="D76" s="2">
        <v>0.76461365102861401</v>
      </c>
    </row>
    <row r="77" spans="2:24" x14ac:dyDescent="0.2">
      <c r="B77" s="2" t="s">
        <v>103</v>
      </c>
      <c r="C77" s="2" t="s">
        <v>131</v>
      </c>
      <c r="D77" s="2">
        <v>0.92173794182588398</v>
      </c>
    </row>
    <row r="78" spans="2:24" x14ac:dyDescent="0.2">
      <c r="B78" s="2" t="s">
        <v>103</v>
      </c>
      <c r="C78" s="2" t="s">
        <v>132</v>
      </c>
      <c r="D78" s="2">
        <v>0.918102093485474</v>
      </c>
    </row>
    <row r="79" spans="2:24" x14ac:dyDescent="0.2">
      <c r="B79" s="2" t="s">
        <v>103</v>
      </c>
      <c r="C79" s="2" t="s">
        <v>151</v>
      </c>
      <c r="D79" s="2">
        <v>-0.728187194828534</v>
      </c>
    </row>
    <row r="80" spans="2:24" x14ac:dyDescent="0.2">
      <c r="B80" s="2" t="s">
        <v>103</v>
      </c>
      <c r="C80" s="2" t="s">
        <v>133</v>
      </c>
      <c r="D80" s="2">
        <v>0.87035551315645698</v>
      </c>
    </row>
    <row r="81" spans="2:4" x14ac:dyDescent="0.2">
      <c r="B81" s="2" t="s">
        <v>103</v>
      </c>
      <c r="C81" s="2" t="s">
        <v>152</v>
      </c>
      <c r="D81" s="2">
        <v>0.78085635341162496</v>
      </c>
    </row>
    <row r="82" spans="2:4" x14ac:dyDescent="0.2">
      <c r="B82" s="2" t="s">
        <v>103</v>
      </c>
      <c r="C82" s="2" t="s">
        <v>135</v>
      </c>
      <c r="D82" s="2">
        <v>0.73326287193862205</v>
      </c>
    </row>
    <row r="83" spans="2:4" x14ac:dyDescent="0.2">
      <c r="B83" s="2" t="s">
        <v>103</v>
      </c>
      <c r="C83" s="2" t="s">
        <v>136</v>
      </c>
      <c r="D83" s="2">
        <v>-0.825328402540075</v>
      </c>
    </row>
    <row r="84" spans="2:4" x14ac:dyDescent="0.2">
      <c r="B84" s="2" t="s">
        <v>103</v>
      </c>
      <c r="C84" s="2" t="s">
        <v>137</v>
      </c>
      <c r="D84" s="2">
        <v>0.61731460360343804</v>
      </c>
    </row>
    <row r="85" spans="2:4" x14ac:dyDescent="0.2">
      <c r="B85" s="2" t="s">
        <v>103</v>
      </c>
      <c r="C85" s="2" t="s">
        <v>138</v>
      </c>
      <c r="D85" s="2">
        <v>0.87617316236564202</v>
      </c>
    </row>
    <row r="86" spans="2:4" x14ac:dyDescent="0.2">
      <c r="B86" s="2" t="s">
        <v>103</v>
      </c>
      <c r="C86" s="2" t="s">
        <v>139</v>
      </c>
      <c r="D86" s="2">
        <v>0.88389161708406105</v>
      </c>
    </row>
    <row r="87" spans="2:4" x14ac:dyDescent="0.2">
      <c r="B87" s="2" t="s">
        <v>103</v>
      </c>
      <c r="C87" s="2" t="s">
        <v>140</v>
      </c>
      <c r="D87" s="2">
        <v>0.74016984630260396</v>
      </c>
    </row>
    <row r="88" spans="2:4" x14ac:dyDescent="0.2">
      <c r="B88" s="2" t="s">
        <v>103</v>
      </c>
      <c r="C88" s="2" t="s">
        <v>141</v>
      </c>
      <c r="D88" s="2">
        <v>0.92428525018296903</v>
      </c>
    </row>
    <row r="89" spans="2:4" x14ac:dyDescent="0.2">
      <c r="B89" s="2" t="s">
        <v>103</v>
      </c>
      <c r="C89" s="2" t="s">
        <v>142</v>
      </c>
      <c r="D89" s="2">
        <v>-0.81279499930768095</v>
      </c>
    </row>
    <row r="90" spans="2:4" x14ac:dyDescent="0.2">
      <c r="B90" s="2" t="s">
        <v>103</v>
      </c>
      <c r="C90" s="2" t="s">
        <v>143</v>
      </c>
      <c r="D90" s="2">
        <v>0.77866181208582497</v>
      </c>
    </row>
    <row r="91" spans="2:4" x14ac:dyDescent="0.2">
      <c r="B91" s="2" t="s">
        <v>104</v>
      </c>
      <c r="C91" s="2" t="s">
        <v>105</v>
      </c>
      <c r="D91" s="2">
        <v>0.70029904403509602</v>
      </c>
    </row>
    <row r="92" spans="2:4" x14ac:dyDescent="0.2">
      <c r="B92" s="2" t="s">
        <v>104</v>
      </c>
      <c r="C92" s="2" t="s">
        <v>106</v>
      </c>
      <c r="D92" s="2">
        <v>0.73385284455565403</v>
      </c>
    </row>
    <row r="93" spans="2:4" x14ac:dyDescent="0.2">
      <c r="B93" s="2" t="s">
        <v>104</v>
      </c>
      <c r="C93" s="2" t="s">
        <v>107</v>
      </c>
      <c r="D93" s="2">
        <v>0.63292506343219801</v>
      </c>
    </row>
    <row r="94" spans="2:4" x14ac:dyDescent="0.2">
      <c r="B94" s="2" t="s">
        <v>104</v>
      </c>
      <c r="C94" s="2" t="s">
        <v>108</v>
      </c>
      <c r="D94" s="2">
        <v>0.888543311448447</v>
      </c>
    </row>
    <row r="95" spans="2:4" x14ac:dyDescent="0.2">
      <c r="B95" s="2" t="s">
        <v>104</v>
      </c>
      <c r="C95" s="2" t="s">
        <v>109</v>
      </c>
      <c r="D95" s="2">
        <v>0.87314733273579903</v>
      </c>
    </row>
    <row r="96" spans="2:4" x14ac:dyDescent="0.2">
      <c r="B96" s="2" t="s">
        <v>104</v>
      </c>
      <c r="C96" s="2" t="s">
        <v>110</v>
      </c>
      <c r="D96" s="2">
        <v>0.65066275072648105</v>
      </c>
    </row>
    <row r="97" spans="2:4" x14ac:dyDescent="0.2">
      <c r="B97" s="2" t="s">
        <v>104</v>
      </c>
      <c r="C97" s="2" t="s">
        <v>111</v>
      </c>
      <c r="D97" s="2">
        <v>0.78761586170861697</v>
      </c>
    </row>
    <row r="98" spans="2:4" x14ac:dyDescent="0.2">
      <c r="B98" s="2" t="s">
        <v>104</v>
      </c>
      <c r="C98" s="2" t="s">
        <v>112</v>
      </c>
      <c r="D98" s="2">
        <v>0.77546107664572494</v>
      </c>
    </row>
    <row r="99" spans="2:4" x14ac:dyDescent="0.2">
      <c r="B99" s="2" t="s">
        <v>104</v>
      </c>
      <c r="C99" s="2" t="s">
        <v>113</v>
      </c>
      <c r="D99" s="2">
        <v>-0.61563804458675497</v>
      </c>
    </row>
    <row r="100" spans="2:4" x14ac:dyDescent="0.2">
      <c r="B100" s="2" t="s">
        <v>104</v>
      </c>
      <c r="C100" s="2" t="s">
        <v>148</v>
      </c>
      <c r="D100" s="2">
        <v>-0.69909185597091505</v>
      </c>
    </row>
    <row r="101" spans="2:4" x14ac:dyDescent="0.2">
      <c r="B101" s="2" t="s">
        <v>104</v>
      </c>
      <c r="C101" s="2" t="s">
        <v>149</v>
      </c>
      <c r="D101" s="2">
        <v>-0.60357775503077105</v>
      </c>
    </row>
    <row r="102" spans="2:4" x14ac:dyDescent="0.2">
      <c r="B102" s="2" t="s">
        <v>104</v>
      </c>
      <c r="C102" s="2" t="s">
        <v>114</v>
      </c>
      <c r="D102" s="2">
        <v>0.76308587220228197</v>
      </c>
    </row>
    <row r="103" spans="2:4" x14ac:dyDescent="0.2">
      <c r="B103" s="2" t="s">
        <v>104</v>
      </c>
      <c r="C103" s="2" t="s">
        <v>116</v>
      </c>
      <c r="D103" s="2">
        <v>0.82644155123234397</v>
      </c>
    </row>
    <row r="104" spans="2:4" x14ac:dyDescent="0.2">
      <c r="B104" s="2" t="s">
        <v>104</v>
      </c>
      <c r="C104" s="2" t="s">
        <v>117</v>
      </c>
      <c r="D104" s="2">
        <v>-0.87181405852257998</v>
      </c>
    </row>
    <row r="105" spans="2:4" x14ac:dyDescent="0.2">
      <c r="B105" s="2" t="s">
        <v>104</v>
      </c>
      <c r="C105" s="2" t="s">
        <v>118</v>
      </c>
      <c r="D105" s="2">
        <v>0.78926355248424296</v>
      </c>
    </row>
    <row r="106" spans="2:4" x14ac:dyDescent="0.2">
      <c r="B106" s="2" t="s">
        <v>104</v>
      </c>
      <c r="C106" s="2" t="s">
        <v>119</v>
      </c>
      <c r="D106" s="2">
        <v>0.61593331104001103</v>
      </c>
    </row>
    <row r="107" spans="2:4" x14ac:dyDescent="0.2">
      <c r="B107" s="2" t="s">
        <v>104</v>
      </c>
      <c r="C107" s="2" t="s">
        <v>150</v>
      </c>
      <c r="D107" s="2">
        <v>-0.72427220777937995</v>
      </c>
    </row>
    <row r="108" spans="2:4" x14ac:dyDescent="0.2">
      <c r="B108" s="2" t="s">
        <v>104</v>
      </c>
      <c r="C108" s="2" t="s">
        <v>120</v>
      </c>
      <c r="D108" s="2">
        <v>0.84033830769872497</v>
      </c>
    </row>
    <row r="109" spans="2:4" x14ac:dyDescent="0.2">
      <c r="B109" s="2" t="s">
        <v>104</v>
      </c>
      <c r="C109" s="2" t="s">
        <v>121</v>
      </c>
      <c r="D109" s="2">
        <v>0.84159953068485105</v>
      </c>
    </row>
    <row r="110" spans="2:4" x14ac:dyDescent="0.2">
      <c r="B110" s="2" t="s">
        <v>104</v>
      </c>
      <c r="C110" s="2" t="s">
        <v>122</v>
      </c>
      <c r="D110" s="2">
        <v>0.62796095155507503</v>
      </c>
    </row>
    <row r="111" spans="2:4" x14ac:dyDescent="0.2">
      <c r="B111" s="2" t="s">
        <v>104</v>
      </c>
      <c r="C111" s="2" t="s">
        <v>123</v>
      </c>
      <c r="D111" s="2">
        <v>0.82644155123234397</v>
      </c>
    </row>
    <row r="112" spans="2:4" x14ac:dyDescent="0.2">
      <c r="B112" s="2" t="s">
        <v>104</v>
      </c>
      <c r="C112" s="2" t="s">
        <v>124</v>
      </c>
      <c r="D112" s="2">
        <v>0.87839001530640404</v>
      </c>
    </row>
    <row r="113" spans="2:4" x14ac:dyDescent="0.2">
      <c r="B113" s="2" t="s">
        <v>104</v>
      </c>
      <c r="C113" s="2" t="s">
        <v>125</v>
      </c>
      <c r="D113" s="2">
        <v>0.78363956491487696</v>
      </c>
    </row>
    <row r="114" spans="2:4" x14ac:dyDescent="0.2">
      <c r="B114" s="2" t="s">
        <v>104</v>
      </c>
      <c r="C114" s="2" t="s">
        <v>127</v>
      </c>
      <c r="D114" s="2">
        <v>0.85096491402417196</v>
      </c>
    </row>
    <row r="115" spans="2:4" x14ac:dyDescent="0.2">
      <c r="B115" s="2" t="s">
        <v>104</v>
      </c>
      <c r="C115" s="2" t="s">
        <v>128</v>
      </c>
      <c r="D115" s="2">
        <v>0.90769199312165905</v>
      </c>
    </row>
    <row r="116" spans="2:4" x14ac:dyDescent="0.2">
      <c r="B116" s="2" t="s">
        <v>104</v>
      </c>
      <c r="C116" s="2" t="s">
        <v>129</v>
      </c>
      <c r="D116" s="2">
        <v>0.72495114458762699</v>
      </c>
    </row>
    <row r="117" spans="2:4" x14ac:dyDescent="0.2">
      <c r="B117" s="2" t="s">
        <v>104</v>
      </c>
      <c r="C117" s="2" t="s">
        <v>130</v>
      </c>
      <c r="D117" s="2">
        <v>0.66300234378768697</v>
      </c>
    </row>
    <row r="118" spans="2:4" x14ac:dyDescent="0.2">
      <c r="B118" s="2" t="s">
        <v>104</v>
      </c>
      <c r="C118" s="2" t="s">
        <v>131</v>
      </c>
      <c r="D118" s="2">
        <v>0.88102920681657204</v>
      </c>
    </row>
    <row r="119" spans="2:4" x14ac:dyDescent="0.2">
      <c r="B119" s="2" t="s">
        <v>104</v>
      </c>
      <c r="C119" s="2" t="s">
        <v>132</v>
      </c>
      <c r="D119" s="2">
        <v>0.80315417930828004</v>
      </c>
    </row>
    <row r="120" spans="2:4" x14ac:dyDescent="0.2">
      <c r="B120" s="2" t="s">
        <v>104</v>
      </c>
      <c r="C120" s="2" t="s">
        <v>133</v>
      </c>
      <c r="D120" s="2">
        <v>0.87951976222121897</v>
      </c>
    </row>
    <row r="121" spans="2:4" x14ac:dyDescent="0.2">
      <c r="B121" s="2" t="s">
        <v>104</v>
      </c>
      <c r="C121" s="2" t="s">
        <v>134</v>
      </c>
      <c r="D121" s="2">
        <v>0.61947053108724803</v>
      </c>
    </row>
    <row r="122" spans="2:4" x14ac:dyDescent="0.2">
      <c r="B122" s="2" t="s">
        <v>104</v>
      </c>
      <c r="C122" s="2" t="s">
        <v>152</v>
      </c>
      <c r="D122" s="2">
        <v>0.75541200727815705</v>
      </c>
    </row>
    <row r="123" spans="2:4" x14ac:dyDescent="0.2">
      <c r="B123" s="2" t="s">
        <v>104</v>
      </c>
      <c r="C123" s="2" t="s">
        <v>135</v>
      </c>
      <c r="D123" s="2">
        <v>0.70909826688516697</v>
      </c>
    </row>
    <row r="124" spans="2:4" x14ac:dyDescent="0.2">
      <c r="B124" s="2" t="s">
        <v>104</v>
      </c>
      <c r="C124" s="2" t="s">
        <v>136</v>
      </c>
      <c r="D124" s="2">
        <v>-0.89934805601979195</v>
      </c>
    </row>
    <row r="125" spans="2:4" x14ac:dyDescent="0.2">
      <c r="B125" s="2" t="s">
        <v>104</v>
      </c>
      <c r="C125" s="2" t="s">
        <v>138</v>
      </c>
      <c r="D125" s="2">
        <v>0.79201523465549095</v>
      </c>
    </row>
    <row r="126" spans="2:4" x14ac:dyDescent="0.2">
      <c r="B126" s="2" t="s">
        <v>104</v>
      </c>
      <c r="C126" s="2" t="s">
        <v>139</v>
      </c>
      <c r="D126" s="2">
        <v>0.81673605257769699</v>
      </c>
    </row>
    <row r="127" spans="2:4" x14ac:dyDescent="0.2">
      <c r="B127" s="2" t="s">
        <v>104</v>
      </c>
      <c r="C127" s="2" t="s">
        <v>141</v>
      </c>
      <c r="D127" s="2">
        <v>0.88023146748399395</v>
      </c>
    </row>
    <row r="128" spans="2:4" x14ac:dyDescent="0.2">
      <c r="B128" s="2" t="s">
        <v>104</v>
      </c>
      <c r="C128" s="2" t="s">
        <v>142</v>
      </c>
      <c r="D128" s="2">
        <v>-0.898771477363557</v>
      </c>
    </row>
    <row r="129" spans="2:4" x14ac:dyDescent="0.2">
      <c r="B129" s="2" t="s">
        <v>104</v>
      </c>
      <c r="C129" s="2" t="s">
        <v>143</v>
      </c>
      <c r="D129" s="2">
        <v>0.65147530810201504</v>
      </c>
    </row>
    <row r="130" spans="2:4" x14ac:dyDescent="0.2">
      <c r="B130" s="2" t="s">
        <v>145</v>
      </c>
      <c r="C130" s="2" t="s">
        <v>126</v>
      </c>
      <c r="D130" s="2">
        <v>0.615346837061574</v>
      </c>
    </row>
    <row r="131" spans="2:4" x14ac:dyDescent="0.2">
      <c r="B131" s="2" t="s">
        <v>145</v>
      </c>
      <c r="C131" s="2" t="s">
        <v>146</v>
      </c>
      <c r="D131" s="2">
        <v>-0.73003346156987903</v>
      </c>
    </row>
    <row r="132" spans="2:4" x14ac:dyDescent="0.2">
      <c r="B132" s="2" t="s">
        <v>105</v>
      </c>
      <c r="C132" s="2" t="s">
        <v>106</v>
      </c>
      <c r="D132" s="2">
        <v>0.83352283075932998</v>
      </c>
    </row>
    <row r="133" spans="2:4" x14ac:dyDescent="0.2">
      <c r="B133" s="2" t="s">
        <v>105</v>
      </c>
      <c r="C133" s="2" t="s">
        <v>107</v>
      </c>
      <c r="D133" s="2">
        <v>0.95951871992586202</v>
      </c>
    </row>
    <row r="134" spans="2:4" x14ac:dyDescent="0.2">
      <c r="B134" s="2" t="s">
        <v>105</v>
      </c>
      <c r="C134" s="2" t="s">
        <v>108</v>
      </c>
      <c r="D134" s="2">
        <v>0.91833066807510499</v>
      </c>
    </row>
    <row r="135" spans="2:4" x14ac:dyDescent="0.2">
      <c r="B135" s="2" t="s">
        <v>105</v>
      </c>
      <c r="C135" s="2" t="s">
        <v>153</v>
      </c>
      <c r="D135" s="2">
        <v>0.73665719801645801</v>
      </c>
    </row>
    <row r="136" spans="2:4" x14ac:dyDescent="0.2">
      <c r="B136" s="2" t="s">
        <v>105</v>
      </c>
      <c r="C136" s="2" t="s">
        <v>109</v>
      </c>
      <c r="D136" s="2">
        <v>0.95839400302655597</v>
      </c>
    </row>
    <row r="137" spans="2:4" x14ac:dyDescent="0.2">
      <c r="B137" s="2" t="s">
        <v>105</v>
      </c>
      <c r="C137" s="2" t="s">
        <v>110</v>
      </c>
      <c r="D137" s="2">
        <v>0.78845494516145798</v>
      </c>
    </row>
    <row r="138" spans="2:4" x14ac:dyDescent="0.2">
      <c r="B138" s="2" t="s">
        <v>105</v>
      </c>
      <c r="C138" s="2" t="s">
        <v>111</v>
      </c>
      <c r="D138" s="2">
        <v>0.94117891658116404</v>
      </c>
    </row>
    <row r="139" spans="2:4" x14ac:dyDescent="0.2">
      <c r="B139" s="2" t="s">
        <v>105</v>
      </c>
      <c r="C139" s="2" t="s">
        <v>112</v>
      </c>
      <c r="D139" s="2">
        <v>0.94846687020093501</v>
      </c>
    </row>
    <row r="140" spans="2:4" x14ac:dyDescent="0.2">
      <c r="B140" s="2" t="s">
        <v>105</v>
      </c>
      <c r="C140" s="2" t="s">
        <v>113</v>
      </c>
      <c r="D140" s="2">
        <v>-0.894253811202394</v>
      </c>
    </row>
    <row r="141" spans="2:4" x14ac:dyDescent="0.2">
      <c r="B141" s="2" t="s">
        <v>105</v>
      </c>
      <c r="C141" s="2" t="s">
        <v>114</v>
      </c>
      <c r="D141" s="2">
        <v>0.97953572593705895</v>
      </c>
    </row>
    <row r="142" spans="2:4" x14ac:dyDescent="0.2">
      <c r="B142" s="2" t="s">
        <v>105</v>
      </c>
      <c r="C142" s="2" t="s">
        <v>115</v>
      </c>
      <c r="D142" s="2">
        <v>0.84333261633506995</v>
      </c>
    </row>
    <row r="143" spans="2:4" x14ac:dyDescent="0.2">
      <c r="B143" s="2" t="s">
        <v>105</v>
      </c>
      <c r="C143" s="2" t="s">
        <v>116</v>
      </c>
      <c r="D143" s="2">
        <v>0.97198226598539295</v>
      </c>
    </row>
    <row r="144" spans="2:4" x14ac:dyDescent="0.2">
      <c r="B144" s="2" t="s">
        <v>105</v>
      </c>
      <c r="C144" s="2" t="s">
        <v>117</v>
      </c>
      <c r="D144" s="2">
        <v>-0.62311829878344405</v>
      </c>
    </row>
    <row r="145" spans="2:4" x14ac:dyDescent="0.2">
      <c r="B145" s="2" t="s">
        <v>105</v>
      </c>
      <c r="C145" s="2" t="s">
        <v>118</v>
      </c>
      <c r="D145" s="2">
        <v>0.74014512032349</v>
      </c>
    </row>
    <row r="146" spans="2:4" x14ac:dyDescent="0.2">
      <c r="B146" s="2" t="s">
        <v>105</v>
      </c>
      <c r="C146" s="2" t="s">
        <v>119</v>
      </c>
      <c r="D146" s="2">
        <v>0.82889578212390203</v>
      </c>
    </row>
    <row r="147" spans="2:4" x14ac:dyDescent="0.2">
      <c r="B147" s="2" t="s">
        <v>105</v>
      </c>
      <c r="C147" s="2" t="s">
        <v>120</v>
      </c>
      <c r="D147" s="2">
        <v>0.83225731056837204</v>
      </c>
    </row>
    <row r="148" spans="2:4" x14ac:dyDescent="0.2">
      <c r="B148" s="2" t="s">
        <v>105</v>
      </c>
      <c r="C148" s="2" t="s">
        <v>121</v>
      </c>
      <c r="D148" s="2">
        <v>0.95211406877972904</v>
      </c>
    </row>
    <row r="149" spans="2:4" x14ac:dyDescent="0.2">
      <c r="B149" s="2" t="s">
        <v>105</v>
      </c>
      <c r="C149" s="2" t="s">
        <v>122</v>
      </c>
      <c r="D149" s="2">
        <v>0.84725778730176105</v>
      </c>
    </row>
    <row r="150" spans="2:4" x14ac:dyDescent="0.2">
      <c r="B150" s="2" t="s">
        <v>105</v>
      </c>
      <c r="C150" s="2" t="s">
        <v>123</v>
      </c>
      <c r="D150" s="2">
        <v>0.97198226598539295</v>
      </c>
    </row>
    <row r="151" spans="2:4" x14ac:dyDescent="0.2">
      <c r="B151" s="2" t="s">
        <v>105</v>
      </c>
      <c r="C151" s="2" t="s">
        <v>124</v>
      </c>
      <c r="D151" s="2">
        <v>0.94707485509323197</v>
      </c>
    </row>
    <row r="152" spans="2:4" x14ac:dyDescent="0.2">
      <c r="B152" s="2" t="s">
        <v>105</v>
      </c>
      <c r="C152" s="2" t="s">
        <v>125</v>
      </c>
      <c r="D152" s="2">
        <v>0.77950558449069596</v>
      </c>
    </row>
    <row r="153" spans="2:4" x14ac:dyDescent="0.2">
      <c r="B153" s="2" t="s">
        <v>105</v>
      </c>
      <c r="C153" s="2" t="s">
        <v>126</v>
      </c>
      <c r="D153" s="2">
        <v>-0.83566507210847096</v>
      </c>
    </row>
    <row r="154" spans="2:4" x14ac:dyDescent="0.2">
      <c r="B154" s="2" t="s">
        <v>105</v>
      </c>
      <c r="C154" s="2" t="s">
        <v>127</v>
      </c>
      <c r="D154" s="2">
        <v>0.90244236557494095</v>
      </c>
    </row>
    <row r="155" spans="2:4" x14ac:dyDescent="0.2">
      <c r="B155" s="2" t="s">
        <v>105</v>
      </c>
      <c r="C155" s="2" t="s">
        <v>128</v>
      </c>
      <c r="D155" s="2">
        <v>0.85519146920140998</v>
      </c>
    </row>
    <row r="156" spans="2:4" x14ac:dyDescent="0.2">
      <c r="B156" s="2" t="s">
        <v>105</v>
      </c>
      <c r="C156" s="2" t="s">
        <v>129</v>
      </c>
      <c r="D156" s="2">
        <v>0.92611201360811901</v>
      </c>
    </row>
    <row r="157" spans="2:4" x14ac:dyDescent="0.2">
      <c r="B157" s="2" t="s">
        <v>105</v>
      </c>
      <c r="C157" s="2" t="s">
        <v>130</v>
      </c>
      <c r="D157" s="2">
        <v>0.72998469310276104</v>
      </c>
    </row>
    <row r="158" spans="2:4" x14ac:dyDescent="0.2">
      <c r="B158" s="2" t="s">
        <v>105</v>
      </c>
      <c r="C158" s="2" t="s">
        <v>131</v>
      </c>
      <c r="D158" s="2">
        <v>0.94979153603586297</v>
      </c>
    </row>
    <row r="159" spans="2:4" x14ac:dyDescent="0.2">
      <c r="B159" s="2" t="s">
        <v>105</v>
      </c>
      <c r="C159" s="2" t="s">
        <v>132</v>
      </c>
      <c r="D159" s="2">
        <v>0.93916732259874003</v>
      </c>
    </row>
    <row r="160" spans="2:4" x14ac:dyDescent="0.2">
      <c r="B160" s="2" t="s">
        <v>105</v>
      </c>
      <c r="C160" s="2" t="s">
        <v>133</v>
      </c>
      <c r="D160" s="2">
        <v>0.92812724588695805</v>
      </c>
    </row>
    <row r="161" spans="2:4" x14ac:dyDescent="0.2">
      <c r="B161" s="2" t="s">
        <v>105</v>
      </c>
      <c r="C161" s="2" t="s">
        <v>134</v>
      </c>
      <c r="D161" s="2">
        <v>0.81534249149256699</v>
      </c>
    </row>
    <row r="162" spans="2:4" x14ac:dyDescent="0.2">
      <c r="B162" s="2" t="s">
        <v>105</v>
      </c>
      <c r="C162" s="2" t="s">
        <v>135</v>
      </c>
      <c r="D162" s="2">
        <v>0.96464441500130205</v>
      </c>
    </row>
    <row r="163" spans="2:4" x14ac:dyDescent="0.2">
      <c r="B163" s="2" t="s">
        <v>105</v>
      </c>
      <c r="C163" s="2" t="s">
        <v>136</v>
      </c>
      <c r="D163" s="2">
        <v>-0.68203919641044797</v>
      </c>
    </row>
    <row r="164" spans="2:4" x14ac:dyDescent="0.2">
      <c r="B164" s="2" t="s">
        <v>105</v>
      </c>
      <c r="C164" s="2" t="s">
        <v>137</v>
      </c>
      <c r="D164" s="2">
        <v>0.90616808861018106</v>
      </c>
    </row>
    <row r="165" spans="2:4" x14ac:dyDescent="0.2">
      <c r="B165" s="2" t="s">
        <v>105</v>
      </c>
      <c r="C165" s="2" t="s">
        <v>138</v>
      </c>
      <c r="D165" s="2">
        <v>0.98284192595210196</v>
      </c>
    </row>
    <row r="166" spans="2:4" x14ac:dyDescent="0.2">
      <c r="B166" s="2" t="s">
        <v>105</v>
      </c>
      <c r="C166" s="2" t="s">
        <v>139</v>
      </c>
      <c r="D166" s="2">
        <v>0.98078480546830205</v>
      </c>
    </row>
    <row r="167" spans="2:4" x14ac:dyDescent="0.2">
      <c r="B167" s="2" t="s">
        <v>105</v>
      </c>
      <c r="C167" s="2" t="s">
        <v>140</v>
      </c>
      <c r="D167" s="2">
        <v>0.95022765744894699</v>
      </c>
    </row>
    <row r="168" spans="2:4" x14ac:dyDescent="0.2">
      <c r="B168" s="2" t="s">
        <v>105</v>
      </c>
      <c r="C168" s="2" t="s">
        <v>141</v>
      </c>
      <c r="D168" s="2">
        <v>0.95214683768964803</v>
      </c>
    </row>
    <row r="169" spans="2:4" x14ac:dyDescent="0.2">
      <c r="B169" s="2" t="s">
        <v>105</v>
      </c>
      <c r="C169" s="2" t="s">
        <v>142</v>
      </c>
      <c r="D169" s="2">
        <v>-0.67321822840136403</v>
      </c>
    </row>
    <row r="170" spans="2:4" x14ac:dyDescent="0.2">
      <c r="B170" s="2" t="s">
        <v>105</v>
      </c>
      <c r="C170" s="2" t="s">
        <v>143</v>
      </c>
      <c r="D170" s="2">
        <v>0.91826946192329395</v>
      </c>
    </row>
    <row r="171" spans="2:4" x14ac:dyDescent="0.2">
      <c r="B171" s="2" t="s">
        <v>106</v>
      </c>
      <c r="C171" s="2" t="s">
        <v>107</v>
      </c>
      <c r="D171" s="2">
        <v>0.84458244907631497</v>
      </c>
    </row>
    <row r="172" spans="2:4" x14ac:dyDescent="0.2">
      <c r="B172" s="2" t="s">
        <v>106</v>
      </c>
      <c r="C172" s="2" t="s">
        <v>154</v>
      </c>
      <c r="D172" s="2">
        <v>0.65045482912391295</v>
      </c>
    </row>
    <row r="173" spans="2:4" x14ac:dyDescent="0.2">
      <c r="B173" s="2" t="s">
        <v>106</v>
      </c>
      <c r="C173" s="2" t="s">
        <v>108</v>
      </c>
      <c r="D173" s="2">
        <v>0.78023689760507098</v>
      </c>
    </row>
    <row r="174" spans="2:4" x14ac:dyDescent="0.2">
      <c r="B174" s="2" t="s">
        <v>106</v>
      </c>
      <c r="C174" s="2" t="s">
        <v>153</v>
      </c>
      <c r="D174" s="2">
        <v>0.85916772794482699</v>
      </c>
    </row>
    <row r="175" spans="2:4" x14ac:dyDescent="0.2">
      <c r="B175" s="2" t="s">
        <v>106</v>
      </c>
      <c r="C175" s="2" t="s">
        <v>109</v>
      </c>
      <c r="D175" s="2">
        <v>0.84467274896661704</v>
      </c>
    </row>
    <row r="176" spans="2:4" x14ac:dyDescent="0.2">
      <c r="B176" s="2" t="s">
        <v>106</v>
      </c>
      <c r="C176" s="2" t="s">
        <v>110</v>
      </c>
      <c r="D176" s="2">
        <v>0.86281793651090499</v>
      </c>
    </row>
    <row r="177" spans="2:4" x14ac:dyDescent="0.2">
      <c r="B177" s="2" t="s">
        <v>106</v>
      </c>
      <c r="C177" s="2" t="s">
        <v>111</v>
      </c>
      <c r="D177" s="2">
        <v>0.81707692506596397</v>
      </c>
    </row>
    <row r="178" spans="2:4" x14ac:dyDescent="0.2">
      <c r="B178" s="2" t="s">
        <v>106</v>
      </c>
      <c r="C178" s="2" t="s">
        <v>112</v>
      </c>
      <c r="D178" s="2">
        <v>0.86378309149822197</v>
      </c>
    </row>
    <row r="179" spans="2:4" x14ac:dyDescent="0.2">
      <c r="B179" s="2" t="s">
        <v>106</v>
      </c>
      <c r="C179" s="2" t="s">
        <v>114</v>
      </c>
      <c r="D179" s="2">
        <v>0.83586768115475096</v>
      </c>
    </row>
    <row r="180" spans="2:4" x14ac:dyDescent="0.2">
      <c r="B180" s="2" t="s">
        <v>106</v>
      </c>
      <c r="C180" s="2" t="s">
        <v>115</v>
      </c>
      <c r="D180" s="2">
        <v>0.61095338081942696</v>
      </c>
    </row>
    <row r="181" spans="2:4" x14ac:dyDescent="0.2">
      <c r="B181" s="2" t="s">
        <v>106</v>
      </c>
      <c r="C181" s="2" t="s">
        <v>116</v>
      </c>
      <c r="D181" s="2">
        <v>0.88488702532726604</v>
      </c>
    </row>
    <row r="182" spans="2:4" x14ac:dyDescent="0.2">
      <c r="B182" s="2" t="s">
        <v>106</v>
      </c>
      <c r="C182" s="2" t="s">
        <v>117</v>
      </c>
      <c r="D182" s="2">
        <v>-0.85415852993049102</v>
      </c>
    </row>
    <row r="183" spans="2:4" x14ac:dyDescent="0.2">
      <c r="B183" s="2" t="s">
        <v>106</v>
      </c>
      <c r="C183" s="2" t="s">
        <v>119</v>
      </c>
      <c r="D183" s="2">
        <v>0.94550394983651898</v>
      </c>
    </row>
    <row r="184" spans="2:4" x14ac:dyDescent="0.2">
      <c r="B184" s="2" t="s">
        <v>106</v>
      </c>
      <c r="C184" s="2" t="s">
        <v>120</v>
      </c>
      <c r="D184" s="2">
        <v>0.73107618990410494</v>
      </c>
    </row>
    <row r="185" spans="2:4" x14ac:dyDescent="0.2">
      <c r="B185" s="2" t="s">
        <v>106</v>
      </c>
      <c r="C185" s="2" t="s">
        <v>121</v>
      </c>
      <c r="D185" s="2">
        <v>0.83056586884607397</v>
      </c>
    </row>
    <row r="186" spans="2:4" x14ac:dyDescent="0.2">
      <c r="B186" s="2" t="s">
        <v>106</v>
      </c>
      <c r="C186" s="2" t="s">
        <v>122</v>
      </c>
      <c r="D186" s="2">
        <v>0.96424156025180296</v>
      </c>
    </row>
    <row r="187" spans="2:4" x14ac:dyDescent="0.2">
      <c r="B187" s="2" t="s">
        <v>106</v>
      </c>
      <c r="C187" s="2" t="s">
        <v>123</v>
      </c>
      <c r="D187" s="2">
        <v>0.88488702532726604</v>
      </c>
    </row>
    <row r="188" spans="2:4" x14ac:dyDescent="0.2">
      <c r="B188" s="2" t="s">
        <v>106</v>
      </c>
      <c r="C188" s="2" t="s">
        <v>124</v>
      </c>
      <c r="D188" s="2">
        <v>0.81791268883252199</v>
      </c>
    </row>
    <row r="189" spans="2:4" x14ac:dyDescent="0.2">
      <c r="B189" s="2" t="s">
        <v>106</v>
      </c>
      <c r="C189" s="2" t="s">
        <v>125</v>
      </c>
      <c r="D189" s="2">
        <v>0.93668372301582903</v>
      </c>
    </row>
    <row r="190" spans="2:4" x14ac:dyDescent="0.2">
      <c r="B190" s="2" t="s">
        <v>106</v>
      </c>
      <c r="C190" s="2" t="s">
        <v>127</v>
      </c>
      <c r="D190" s="2">
        <v>0.66826840023388401</v>
      </c>
    </row>
    <row r="191" spans="2:4" x14ac:dyDescent="0.2">
      <c r="B191" s="2" t="s">
        <v>106</v>
      </c>
      <c r="C191" s="2" t="s">
        <v>128</v>
      </c>
      <c r="D191" s="2">
        <v>0.66370098278544398</v>
      </c>
    </row>
    <row r="192" spans="2:4" x14ac:dyDescent="0.2">
      <c r="B192" s="2" t="s">
        <v>106</v>
      </c>
      <c r="C192" s="2" t="s">
        <v>129</v>
      </c>
      <c r="D192" s="2">
        <v>0.96927691293968499</v>
      </c>
    </row>
    <row r="193" spans="2:4" x14ac:dyDescent="0.2">
      <c r="B193" s="2" t="s">
        <v>106</v>
      </c>
      <c r="C193" s="2" t="s">
        <v>130</v>
      </c>
      <c r="D193" s="2">
        <v>0.91627882014733697</v>
      </c>
    </row>
    <row r="194" spans="2:4" x14ac:dyDescent="0.2">
      <c r="B194" s="2" t="s">
        <v>106</v>
      </c>
      <c r="C194" s="2" t="s">
        <v>131</v>
      </c>
      <c r="D194" s="2">
        <v>0.82605836253820097</v>
      </c>
    </row>
    <row r="195" spans="2:4" x14ac:dyDescent="0.2">
      <c r="B195" s="2" t="s">
        <v>106</v>
      </c>
      <c r="C195" s="2" t="s">
        <v>132</v>
      </c>
      <c r="D195" s="2">
        <v>0.86297211404343399</v>
      </c>
    </row>
    <row r="196" spans="2:4" x14ac:dyDescent="0.2">
      <c r="B196" s="2" t="s">
        <v>106</v>
      </c>
      <c r="C196" s="2" t="s">
        <v>133</v>
      </c>
      <c r="D196" s="2">
        <v>0.79245630149051904</v>
      </c>
    </row>
    <row r="197" spans="2:4" x14ac:dyDescent="0.2">
      <c r="B197" s="2" t="s">
        <v>106</v>
      </c>
      <c r="C197" s="2" t="s">
        <v>134</v>
      </c>
      <c r="D197" s="2">
        <v>0.978302609985083</v>
      </c>
    </row>
    <row r="198" spans="2:4" x14ac:dyDescent="0.2">
      <c r="B198" s="2" t="s">
        <v>106</v>
      </c>
      <c r="C198" s="2" t="s">
        <v>135</v>
      </c>
      <c r="D198" s="2">
        <v>0.93674967885494598</v>
      </c>
    </row>
    <row r="199" spans="2:4" x14ac:dyDescent="0.2">
      <c r="B199" s="2" t="s">
        <v>106</v>
      </c>
      <c r="C199" s="2" t="s">
        <v>136</v>
      </c>
      <c r="D199" s="2">
        <v>-0.86790544491752897</v>
      </c>
    </row>
    <row r="200" spans="2:4" x14ac:dyDescent="0.2">
      <c r="B200" s="2" t="s">
        <v>106</v>
      </c>
      <c r="C200" s="2" t="s">
        <v>137</v>
      </c>
      <c r="D200" s="2">
        <v>0.66515512195487003</v>
      </c>
    </row>
    <row r="201" spans="2:4" x14ac:dyDescent="0.2">
      <c r="B201" s="2" t="s">
        <v>106</v>
      </c>
      <c r="C201" s="2" t="s">
        <v>138</v>
      </c>
      <c r="D201" s="2">
        <v>0.84589937129593595</v>
      </c>
    </row>
    <row r="202" spans="2:4" x14ac:dyDescent="0.2">
      <c r="B202" s="2" t="s">
        <v>106</v>
      </c>
      <c r="C202" s="2" t="s">
        <v>139</v>
      </c>
      <c r="D202" s="2">
        <v>0.86052519182423703</v>
      </c>
    </row>
    <row r="203" spans="2:4" x14ac:dyDescent="0.2">
      <c r="B203" s="2" t="s">
        <v>106</v>
      </c>
      <c r="C203" s="2" t="s">
        <v>140</v>
      </c>
      <c r="D203" s="2">
        <v>0.86316387114071302</v>
      </c>
    </row>
    <row r="204" spans="2:4" x14ac:dyDescent="0.2">
      <c r="B204" s="2" t="s">
        <v>106</v>
      </c>
      <c r="C204" s="2" t="s">
        <v>141</v>
      </c>
      <c r="D204" s="2">
        <v>0.83385101154361396</v>
      </c>
    </row>
    <row r="205" spans="2:4" x14ac:dyDescent="0.2">
      <c r="B205" s="2" t="s">
        <v>106</v>
      </c>
      <c r="C205" s="2" t="s">
        <v>142</v>
      </c>
      <c r="D205" s="2">
        <v>-0.85691184903342399</v>
      </c>
    </row>
    <row r="206" spans="2:4" x14ac:dyDescent="0.2">
      <c r="B206" s="2" t="s">
        <v>106</v>
      </c>
      <c r="C206" s="2" t="s">
        <v>143</v>
      </c>
      <c r="D206" s="2">
        <v>0.91262153163396997</v>
      </c>
    </row>
    <row r="207" spans="2:4" x14ac:dyDescent="0.2">
      <c r="B207" s="2" t="s">
        <v>107</v>
      </c>
      <c r="C207" s="2" t="s">
        <v>108</v>
      </c>
      <c r="D207" s="2">
        <v>0.88445675347891395</v>
      </c>
    </row>
    <row r="208" spans="2:4" x14ac:dyDescent="0.2">
      <c r="B208" s="2" t="s">
        <v>107</v>
      </c>
      <c r="C208" s="2" t="s">
        <v>153</v>
      </c>
      <c r="D208" s="2">
        <v>0.87159777235767399</v>
      </c>
    </row>
    <row r="209" spans="2:4" x14ac:dyDescent="0.2">
      <c r="B209" s="2" t="s">
        <v>107</v>
      </c>
      <c r="C209" s="2" t="s">
        <v>109</v>
      </c>
      <c r="D209" s="2">
        <v>0.90339686615560499</v>
      </c>
    </row>
    <row r="210" spans="2:4" x14ac:dyDescent="0.2">
      <c r="B210" s="2" t="s">
        <v>107</v>
      </c>
      <c r="C210" s="2" t="s">
        <v>110</v>
      </c>
      <c r="D210" s="2">
        <v>0.88500473209471797</v>
      </c>
    </row>
    <row r="211" spans="2:4" x14ac:dyDescent="0.2">
      <c r="B211" s="2" t="s">
        <v>107</v>
      </c>
      <c r="C211" s="2" t="s">
        <v>111</v>
      </c>
      <c r="D211" s="2">
        <v>0.96448366575140199</v>
      </c>
    </row>
    <row r="212" spans="2:4" x14ac:dyDescent="0.2">
      <c r="B212" s="2" t="s">
        <v>107</v>
      </c>
      <c r="C212" s="2" t="s">
        <v>112</v>
      </c>
      <c r="D212" s="2">
        <v>0.95807356247342701</v>
      </c>
    </row>
    <row r="213" spans="2:4" x14ac:dyDescent="0.2">
      <c r="B213" s="2" t="s">
        <v>107</v>
      </c>
      <c r="C213" s="2" t="s">
        <v>113</v>
      </c>
      <c r="D213" s="2">
        <v>-0.78815912118492304</v>
      </c>
    </row>
    <row r="214" spans="2:4" x14ac:dyDescent="0.2">
      <c r="B214" s="2" t="s">
        <v>107</v>
      </c>
      <c r="C214" s="2" t="s">
        <v>114</v>
      </c>
      <c r="D214" s="2">
        <v>0.968252878956117</v>
      </c>
    </row>
    <row r="215" spans="2:4" x14ac:dyDescent="0.2">
      <c r="B215" s="2" t="s">
        <v>107</v>
      </c>
      <c r="C215" s="2" t="s">
        <v>115</v>
      </c>
      <c r="D215" s="2">
        <v>0.92856388711502202</v>
      </c>
    </row>
    <row r="216" spans="2:4" x14ac:dyDescent="0.2">
      <c r="B216" s="2" t="s">
        <v>107</v>
      </c>
      <c r="C216" s="2" t="s">
        <v>116</v>
      </c>
      <c r="D216" s="2">
        <v>0.95213877721127804</v>
      </c>
    </row>
    <row r="217" spans="2:4" x14ac:dyDescent="0.2">
      <c r="B217" s="2" t="s">
        <v>107</v>
      </c>
      <c r="C217" s="2" t="s">
        <v>117</v>
      </c>
      <c r="D217" s="2">
        <v>-0.61106458176498502</v>
      </c>
    </row>
    <row r="218" spans="2:4" x14ac:dyDescent="0.2">
      <c r="B218" s="2" t="s">
        <v>107</v>
      </c>
      <c r="C218" s="2" t="s">
        <v>118</v>
      </c>
      <c r="D218" s="2">
        <v>0.62673689104197305</v>
      </c>
    </row>
    <row r="219" spans="2:4" x14ac:dyDescent="0.2">
      <c r="B219" s="2" t="s">
        <v>107</v>
      </c>
      <c r="C219" s="2" t="s">
        <v>119</v>
      </c>
      <c r="D219" s="2">
        <v>0.91354889362137204</v>
      </c>
    </row>
    <row r="220" spans="2:4" x14ac:dyDescent="0.2">
      <c r="B220" s="2" t="s">
        <v>107</v>
      </c>
      <c r="C220" s="2" t="s">
        <v>120</v>
      </c>
      <c r="D220" s="2">
        <v>0.66596788143633301</v>
      </c>
    </row>
    <row r="221" spans="2:4" x14ac:dyDescent="0.2">
      <c r="B221" s="2" t="s">
        <v>107</v>
      </c>
      <c r="C221" s="2" t="s">
        <v>121</v>
      </c>
      <c r="D221" s="2">
        <v>0.93983249442736705</v>
      </c>
    </row>
    <row r="222" spans="2:4" x14ac:dyDescent="0.2">
      <c r="B222" s="2" t="s">
        <v>107</v>
      </c>
      <c r="C222" s="2" t="s">
        <v>122</v>
      </c>
      <c r="D222" s="2">
        <v>0.90543543591521103</v>
      </c>
    </row>
    <row r="223" spans="2:4" x14ac:dyDescent="0.2">
      <c r="B223" s="2" t="s">
        <v>107</v>
      </c>
      <c r="C223" s="2" t="s">
        <v>123</v>
      </c>
      <c r="D223" s="2">
        <v>0.95213877721127804</v>
      </c>
    </row>
    <row r="224" spans="2:4" x14ac:dyDescent="0.2">
      <c r="B224" s="2" t="s">
        <v>107</v>
      </c>
      <c r="C224" s="2" t="s">
        <v>124</v>
      </c>
      <c r="D224" s="2">
        <v>0.893769269498493</v>
      </c>
    </row>
    <row r="225" spans="2:4" x14ac:dyDescent="0.2">
      <c r="B225" s="2" t="s">
        <v>107</v>
      </c>
      <c r="C225" s="2" t="s">
        <v>125</v>
      </c>
      <c r="D225" s="2">
        <v>0.85231683399559599</v>
      </c>
    </row>
    <row r="226" spans="2:4" x14ac:dyDescent="0.2">
      <c r="B226" s="2" t="s">
        <v>107</v>
      </c>
      <c r="C226" s="2" t="s">
        <v>126</v>
      </c>
      <c r="D226" s="2">
        <v>-0.66135617442521</v>
      </c>
    </row>
    <row r="227" spans="2:4" x14ac:dyDescent="0.2">
      <c r="B227" s="2" t="s">
        <v>107</v>
      </c>
      <c r="C227" s="2" t="s">
        <v>127</v>
      </c>
      <c r="D227" s="2">
        <v>0.81137900533834395</v>
      </c>
    </row>
    <row r="228" spans="2:4" x14ac:dyDescent="0.2">
      <c r="B228" s="2" t="s">
        <v>107</v>
      </c>
      <c r="C228" s="2" t="s">
        <v>128</v>
      </c>
      <c r="D228" s="2">
        <v>0.76487206479630099</v>
      </c>
    </row>
    <row r="229" spans="2:4" x14ac:dyDescent="0.2">
      <c r="B229" s="2" t="s">
        <v>107</v>
      </c>
      <c r="C229" s="2" t="s">
        <v>129</v>
      </c>
      <c r="D229" s="2">
        <v>0.92682943848329802</v>
      </c>
    </row>
    <row r="230" spans="2:4" x14ac:dyDescent="0.2">
      <c r="B230" s="2" t="s">
        <v>107</v>
      </c>
      <c r="C230" s="2" t="s">
        <v>130</v>
      </c>
      <c r="D230" s="2">
        <v>0.84242122968939404</v>
      </c>
    </row>
    <row r="231" spans="2:4" x14ac:dyDescent="0.2">
      <c r="B231" s="2" t="s">
        <v>107</v>
      </c>
      <c r="C231" s="2" t="s">
        <v>131</v>
      </c>
      <c r="D231" s="2">
        <v>0.89877878435842096</v>
      </c>
    </row>
    <row r="232" spans="2:4" x14ac:dyDescent="0.2">
      <c r="B232" s="2" t="s">
        <v>107</v>
      </c>
      <c r="C232" s="2" t="s">
        <v>132</v>
      </c>
      <c r="D232" s="2">
        <v>0.90005785328934995</v>
      </c>
    </row>
    <row r="233" spans="2:4" x14ac:dyDescent="0.2">
      <c r="B233" s="2" t="s">
        <v>107</v>
      </c>
      <c r="C233" s="2" t="s">
        <v>133</v>
      </c>
      <c r="D233" s="2">
        <v>0.897087138186204</v>
      </c>
    </row>
    <row r="234" spans="2:4" x14ac:dyDescent="0.2">
      <c r="B234" s="2" t="s">
        <v>107</v>
      </c>
      <c r="C234" s="2" t="s">
        <v>134</v>
      </c>
      <c r="D234" s="2">
        <v>0.87440864943997898</v>
      </c>
    </row>
    <row r="235" spans="2:4" x14ac:dyDescent="0.2">
      <c r="B235" s="2" t="s">
        <v>107</v>
      </c>
      <c r="C235" s="2" t="s">
        <v>135</v>
      </c>
      <c r="D235" s="2">
        <v>0.93902448663722604</v>
      </c>
    </row>
    <row r="236" spans="2:4" x14ac:dyDescent="0.2">
      <c r="B236" s="2" t="s">
        <v>107</v>
      </c>
      <c r="C236" s="2" t="s">
        <v>136</v>
      </c>
      <c r="D236" s="2">
        <v>-0.67384157703562797</v>
      </c>
    </row>
    <row r="237" spans="2:4" x14ac:dyDescent="0.2">
      <c r="B237" s="2" t="s">
        <v>107</v>
      </c>
      <c r="C237" s="2" t="s">
        <v>137</v>
      </c>
      <c r="D237" s="2">
        <v>0.860081974716429</v>
      </c>
    </row>
    <row r="238" spans="2:4" x14ac:dyDescent="0.2">
      <c r="B238" s="2" t="s">
        <v>107</v>
      </c>
      <c r="C238" s="2" t="s">
        <v>155</v>
      </c>
      <c r="D238" s="2">
        <v>-0.61228567887597796</v>
      </c>
    </row>
    <row r="239" spans="2:4" x14ac:dyDescent="0.2">
      <c r="B239" s="2" t="s">
        <v>107</v>
      </c>
      <c r="C239" s="2" t="s">
        <v>138</v>
      </c>
      <c r="D239" s="2">
        <v>0.90559311375696805</v>
      </c>
    </row>
    <row r="240" spans="2:4" x14ac:dyDescent="0.2">
      <c r="B240" s="2" t="s">
        <v>107</v>
      </c>
      <c r="C240" s="2" t="s">
        <v>139</v>
      </c>
      <c r="D240" s="2">
        <v>0.94353586342824303</v>
      </c>
    </row>
    <row r="241" spans="2:4" x14ac:dyDescent="0.2">
      <c r="B241" s="2" t="s">
        <v>107</v>
      </c>
      <c r="C241" s="2" t="s">
        <v>140</v>
      </c>
      <c r="D241" s="2">
        <v>0.95587883018763498</v>
      </c>
    </row>
    <row r="242" spans="2:4" x14ac:dyDescent="0.2">
      <c r="B242" s="2" t="s">
        <v>107</v>
      </c>
      <c r="C242" s="2" t="s">
        <v>141</v>
      </c>
      <c r="D242" s="2">
        <v>0.88259724147195995</v>
      </c>
    </row>
    <row r="243" spans="2:4" x14ac:dyDescent="0.2">
      <c r="B243" s="2" t="s">
        <v>107</v>
      </c>
      <c r="C243" s="2" t="s">
        <v>142</v>
      </c>
      <c r="D243" s="2">
        <v>-0.68231367667611498</v>
      </c>
    </row>
    <row r="244" spans="2:4" x14ac:dyDescent="0.2">
      <c r="B244" s="2" t="s">
        <v>107</v>
      </c>
      <c r="C244" s="2" t="s">
        <v>143</v>
      </c>
      <c r="D244" s="2">
        <v>0.91260792141860703</v>
      </c>
    </row>
    <row r="245" spans="2:4" x14ac:dyDescent="0.2">
      <c r="B245" s="2" t="s">
        <v>154</v>
      </c>
      <c r="C245" s="2" t="s">
        <v>153</v>
      </c>
      <c r="D245" s="2">
        <v>0.65820025749418098</v>
      </c>
    </row>
    <row r="246" spans="2:4" x14ac:dyDescent="0.2">
      <c r="B246" s="2" t="s">
        <v>154</v>
      </c>
      <c r="C246" s="2" t="s">
        <v>156</v>
      </c>
      <c r="D246" s="2">
        <v>0.81147780104135003</v>
      </c>
    </row>
    <row r="247" spans="2:4" x14ac:dyDescent="0.2">
      <c r="B247" s="2" t="s">
        <v>154</v>
      </c>
      <c r="C247" s="2" t="s">
        <v>148</v>
      </c>
      <c r="D247" s="2">
        <v>0.61376208382181396</v>
      </c>
    </row>
    <row r="248" spans="2:4" x14ac:dyDescent="0.2">
      <c r="B248" s="2" t="s">
        <v>154</v>
      </c>
      <c r="C248" s="2" t="s">
        <v>119</v>
      </c>
      <c r="D248" s="2">
        <v>0.67457992551909896</v>
      </c>
    </row>
    <row r="249" spans="2:4" x14ac:dyDescent="0.2">
      <c r="B249" s="2" t="s">
        <v>154</v>
      </c>
      <c r="C249" s="2" t="s">
        <v>122</v>
      </c>
      <c r="D249" s="2">
        <v>0.64178809712159401</v>
      </c>
    </row>
    <row r="250" spans="2:4" x14ac:dyDescent="0.2">
      <c r="B250" s="2" t="s">
        <v>154</v>
      </c>
      <c r="C250" s="2" t="s">
        <v>157</v>
      </c>
      <c r="D250" s="2">
        <v>0.84050676315351502</v>
      </c>
    </row>
    <row r="251" spans="2:4" x14ac:dyDescent="0.2">
      <c r="B251" s="2" t="s">
        <v>154</v>
      </c>
      <c r="C251" s="2" t="s">
        <v>158</v>
      </c>
      <c r="D251" s="2">
        <v>0.78278870368765696</v>
      </c>
    </row>
    <row r="252" spans="2:4" x14ac:dyDescent="0.2">
      <c r="B252" s="2" t="s">
        <v>154</v>
      </c>
      <c r="C252" s="2" t="s">
        <v>134</v>
      </c>
      <c r="D252" s="2">
        <v>0.72757778306384602</v>
      </c>
    </row>
    <row r="253" spans="2:4" x14ac:dyDescent="0.2">
      <c r="B253" s="2" t="s">
        <v>108</v>
      </c>
      <c r="C253" s="2" t="s">
        <v>153</v>
      </c>
      <c r="D253" s="2">
        <v>0.66577256812938501</v>
      </c>
    </row>
    <row r="254" spans="2:4" x14ac:dyDescent="0.2">
      <c r="B254" s="2" t="s">
        <v>108</v>
      </c>
      <c r="C254" s="2" t="s">
        <v>109</v>
      </c>
      <c r="D254" s="2">
        <v>0.98374217115536</v>
      </c>
    </row>
    <row r="255" spans="2:4" x14ac:dyDescent="0.2">
      <c r="B255" s="2" t="s">
        <v>108</v>
      </c>
      <c r="C255" s="2" t="s">
        <v>110</v>
      </c>
      <c r="D255" s="2">
        <v>0.75965465036844804</v>
      </c>
    </row>
    <row r="256" spans="2:4" x14ac:dyDescent="0.2">
      <c r="B256" s="2" t="s">
        <v>108</v>
      </c>
      <c r="C256" s="2" t="s">
        <v>111</v>
      </c>
      <c r="D256" s="2">
        <v>0.96573340849049605</v>
      </c>
    </row>
    <row r="257" spans="2:4" x14ac:dyDescent="0.2">
      <c r="B257" s="2" t="s">
        <v>108</v>
      </c>
      <c r="C257" s="2" t="s">
        <v>112</v>
      </c>
      <c r="D257" s="2">
        <v>0.92563466243082904</v>
      </c>
    </row>
    <row r="258" spans="2:4" x14ac:dyDescent="0.2">
      <c r="B258" s="2" t="s">
        <v>108</v>
      </c>
      <c r="C258" s="2" t="s">
        <v>113</v>
      </c>
      <c r="D258" s="2">
        <v>-0.83474236136837299</v>
      </c>
    </row>
    <row r="259" spans="2:4" x14ac:dyDescent="0.2">
      <c r="B259" s="2" t="s">
        <v>108</v>
      </c>
      <c r="C259" s="2" t="s">
        <v>114</v>
      </c>
      <c r="D259" s="2">
        <v>0.96460520539799499</v>
      </c>
    </row>
    <row r="260" spans="2:4" x14ac:dyDescent="0.2">
      <c r="B260" s="2" t="s">
        <v>108</v>
      </c>
      <c r="C260" s="2" t="s">
        <v>115</v>
      </c>
      <c r="D260" s="2">
        <v>0.80435819585658497</v>
      </c>
    </row>
    <row r="261" spans="2:4" x14ac:dyDescent="0.2">
      <c r="B261" s="2" t="s">
        <v>108</v>
      </c>
      <c r="C261" s="2" t="s">
        <v>116</v>
      </c>
      <c r="D261" s="2">
        <v>0.97109008527124097</v>
      </c>
    </row>
    <row r="262" spans="2:4" x14ac:dyDescent="0.2">
      <c r="B262" s="2" t="s">
        <v>108</v>
      </c>
      <c r="C262" s="2" t="s">
        <v>117</v>
      </c>
      <c r="D262" s="2">
        <v>-0.760985924484615</v>
      </c>
    </row>
    <row r="263" spans="2:4" x14ac:dyDescent="0.2">
      <c r="B263" s="2" t="s">
        <v>108</v>
      </c>
      <c r="C263" s="2" t="s">
        <v>118</v>
      </c>
      <c r="D263" s="2">
        <v>0.81359839029277403</v>
      </c>
    </row>
    <row r="264" spans="2:4" x14ac:dyDescent="0.2">
      <c r="B264" s="2" t="s">
        <v>108</v>
      </c>
      <c r="C264" s="2" t="s">
        <v>119</v>
      </c>
      <c r="D264" s="2">
        <v>0.75287725599893796</v>
      </c>
    </row>
    <row r="265" spans="2:4" x14ac:dyDescent="0.2">
      <c r="B265" s="2" t="s">
        <v>108</v>
      </c>
      <c r="C265" s="2" t="s">
        <v>150</v>
      </c>
      <c r="D265" s="2">
        <v>-0.60587025915321102</v>
      </c>
    </row>
    <row r="266" spans="2:4" x14ac:dyDescent="0.2">
      <c r="B266" s="2" t="s">
        <v>108</v>
      </c>
      <c r="C266" s="2" t="s">
        <v>120</v>
      </c>
      <c r="D266" s="2">
        <v>0.84350812124614705</v>
      </c>
    </row>
    <row r="267" spans="2:4" x14ac:dyDescent="0.2">
      <c r="B267" s="2" t="s">
        <v>108</v>
      </c>
      <c r="C267" s="2" t="s">
        <v>121</v>
      </c>
      <c r="D267" s="2">
        <v>0.979291200012958</v>
      </c>
    </row>
    <row r="268" spans="2:4" x14ac:dyDescent="0.2">
      <c r="B268" s="2" t="s">
        <v>108</v>
      </c>
      <c r="C268" s="2" t="s">
        <v>122</v>
      </c>
      <c r="D268" s="2">
        <v>0.77374225192484303</v>
      </c>
    </row>
    <row r="269" spans="2:4" x14ac:dyDescent="0.2">
      <c r="B269" s="2" t="s">
        <v>108</v>
      </c>
      <c r="C269" s="2" t="s">
        <v>123</v>
      </c>
      <c r="D269" s="2">
        <v>0.97109008527124097</v>
      </c>
    </row>
    <row r="270" spans="2:4" x14ac:dyDescent="0.2">
      <c r="B270" s="2" t="s">
        <v>108</v>
      </c>
      <c r="C270" s="2" t="s">
        <v>124</v>
      </c>
      <c r="D270" s="2">
        <v>0.99263507032310605</v>
      </c>
    </row>
    <row r="271" spans="2:4" x14ac:dyDescent="0.2">
      <c r="B271" s="2" t="s">
        <v>108</v>
      </c>
      <c r="C271" s="2" t="s">
        <v>125</v>
      </c>
      <c r="D271" s="2">
        <v>0.81408903204253202</v>
      </c>
    </row>
    <row r="272" spans="2:4" x14ac:dyDescent="0.2">
      <c r="B272" s="2" t="s">
        <v>108</v>
      </c>
      <c r="C272" s="2" t="s">
        <v>126</v>
      </c>
      <c r="D272" s="2">
        <v>-0.73298071053152702</v>
      </c>
    </row>
    <row r="273" spans="2:4" x14ac:dyDescent="0.2">
      <c r="B273" s="2" t="s">
        <v>108</v>
      </c>
      <c r="C273" s="2" t="s">
        <v>127</v>
      </c>
      <c r="D273" s="2">
        <v>0.97072333360607099</v>
      </c>
    </row>
    <row r="274" spans="2:4" x14ac:dyDescent="0.2">
      <c r="B274" s="2" t="s">
        <v>108</v>
      </c>
      <c r="C274" s="2" t="s">
        <v>128</v>
      </c>
      <c r="D274" s="2">
        <v>0.97070219413049097</v>
      </c>
    </row>
    <row r="275" spans="2:4" x14ac:dyDescent="0.2">
      <c r="B275" s="2" t="s">
        <v>108</v>
      </c>
      <c r="C275" s="2" t="s">
        <v>129</v>
      </c>
      <c r="D275" s="2">
        <v>0.861890526308002</v>
      </c>
    </row>
    <row r="276" spans="2:4" x14ac:dyDescent="0.2">
      <c r="B276" s="2" t="s">
        <v>108</v>
      </c>
      <c r="C276" s="2" t="s">
        <v>130</v>
      </c>
      <c r="D276" s="2">
        <v>0.728830699465839</v>
      </c>
    </row>
    <row r="277" spans="2:4" x14ac:dyDescent="0.2">
      <c r="B277" s="2" t="s">
        <v>108</v>
      </c>
      <c r="C277" s="2" t="s">
        <v>131</v>
      </c>
      <c r="D277" s="2">
        <v>0.99147747626704397</v>
      </c>
    </row>
    <row r="278" spans="2:4" x14ac:dyDescent="0.2">
      <c r="B278" s="2" t="s">
        <v>108</v>
      </c>
      <c r="C278" s="2" t="s">
        <v>132</v>
      </c>
      <c r="D278" s="2">
        <v>0.94804215348354604</v>
      </c>
    </row>
    <row r="279" spans="2:4" x14ac:dyDescent="0.2">
      <c r="B279" s="2" t="s">
        <v>108</v>
      </c>
      <c r="C279" s="2" t="s">
        <v>133</v>
      </c>
      <c r="D279" s="2">
        <v>0.98496853634905901</v>
      </c>
    </row>
    <row r="280" spans="2:4" x14ac:dyDescent="0.2">
      <c r="B280" s="2" t="s">
        <v>108</v>
      </c>
      <c r="C280" s="2" t="s">
        <v>134</v>
      </c>
      <c r="D280" s="2">
        <v>0.72393524637173301</v>
      </c>
    </row>
    <row r="281" spans="2:4" x14ac:dyDescent="0.2">
      <c r="B281" s="2" t="s">
        <v>108</v>
      </c>
      <c r="C281" s="2" t="s">
        <v>152</v>
      </c>
      <c r="D281" s="2">
        <v>0.72492017505846096</v>
      </c>
    </row>
    <row r="282" spans="2:4" x14ac:dyDescent="0.2">
      <c r="B282" s="2" t="s">
        <v>108</v>
      </c>
      <c r="C282" s="2" t="s">
        <v>135</v>
      </c>
      <c r="D282" s="2">
        <v>0.86183430726608001</v>
      </c>
    </row>
    <row r="283" spans="2:4" x14ac:dyDescent="0.2">
      <c r="B283" s="2" t="s">
        <v>108</v>
      </c>
      <c r="C283" s="2" t="s">
        <v>136</v>
      </c>
      <c r="D283" s="2">
        <v>-0.82005210457933098</v>
      </c>
    </row>
    <row r="284" spans="2:4" x14ac:dyDescent="0.2">
      <c r="B284" s="2" t="s">
        <v>108</v>
      </c>
      <c r="C284" s="2" t="s">
        <v>137</v>
      </c>
      <c r="D284" s="2">
        <v>0.69846561550952502</v>
      </c>
    </row>
    <row r="285" spans="2:4" x14ac:dyDescent="0.2">
      <c r="B285" s="2" t="s">
        <v>108</v>
      </c>
      <c r="C285" s="2" t="s">
        <v>138</v>
      </c>
      <c r="D285" s="2">
        <v>0.93846920022938296</v>
      </c>
    </row>
    <row r="286" spans="2:4" x14ac:dyDescent="0.2">
      <c r="B286" s="2" t="s">
        <v>108</v>
      </c>
      <c r="C286" s="2" t="s">
        <v>139</v>
      </c>
      <c r="D286" s="2">
        <v>0.97285390052018506</v>
      </c>
    </row>
    <row r="287" spans="2:4" x14ac:dyDescent="0.2">
      <c r="B287" s="2" t="s">
        <v>108</v>
      </c>
      <c r="C287" s="2" t="s">
        <v>140</v>
      </c>
      <c r="D287" s="2">
        <v>0.84105419293025596</v>
      </c>
    </row>
    <row r="288" spans="2:4" x14ac:dyDescent="0.2">
      <c r="B288" s="2" t="s">
        <v>108</v>
      </c>
      <c r="C288" s="2" t="s">
        <v>141</v>
      </c>
      <c r="D288" s="2">
        <v>0.97894166676274597</v>
      </c>
    </row>
    <row r="289" spans="2:4" x14ac:dyDescent="0.2">
      <c r="B289" s="2" t="s">
        <v>108</v>
      </c>
      <c r="C289" s="2" t="s">
        <v>142</v>
      </c>
      <c r="D289" s="2">
        <v>-0.82513054510728401</v>
      </c>
    </row>
    <row r="290" spans="2:4" x14ac:dyDescent="0.2">
      <c r="B290" s="2" t="s">
        <v>108</v>
      </c>
      <c r="C290" s="2" t="s">
        <v>143</v>
      </c>
      <c r="D290" s="2">
        <v>0.83941924242028099</v>
      </c>
    </row>
    <row r="291" spans="2:4" x14ac:dyDescent="0.2">
      <c r="B291" s="2" t="s">
        <v>108</v>
      </c>
      <c r="C291" s="2" t="s">
        <v>159</v>
      </c>
      <c r="D291" s="2">
        <v>-0.66465915960027799</v>
      </c>
    </row>
    <row r="292" spans="2:4" x14ac:dyDescent="0.2">
      <c r="B292" s="2" t="s">
        <v>153</v>
      </c>
      <c r="C292" s="2" t="s">
        <v>109</v>
      </c>
      <c r="D292" s="2">
        <v>0.69145324738412905</v>
      </c>
    </row>
    <row r="293" spans="2:4" x14ac:dyDescent="0.2">
      <c r="B293" s="2" t="s">
        <v>153</v>
      </c>
      <c r="C293" s="2" t="s">
        <v>156</v>
      </c>
      <c r="D293" s="2">
        <v>0.68820574183427596</v>
      </c>
    </row>
    <row r="294" spans="2:4" x14ac:dyDescent="0.2">
      <c r="B294" s="2" t="s">
        <v>153</v>
      </c>
      <c r="C294" s="2" t="s">
        <v>110</v>
      </c>
      <c r="D294" s="2">
        <v>0.97050710225554704</v>
      </c>
    </row>
    <row r="295" spans="2:4" x14ac:dyDescent="0.2">
      <c r="B295" s="2" t="s">
        <v>153</v>
      </c>
      <c r="C295" s="2" t="s">
        <v>111</v>
      </c>
      <c r="D295" s="2">
        <v>0.81458112539657002</v>
      </c>
    </row>
    <row r="296" spans="2:4" x14ac:dyDescent="0.2">
      <c r="B296" s="2" t="s">
        <v>153</v>
      </c>
      <c r="C296" s="2" t="s">
        <v>112</v>
      </c>
      <c r="D296" s="2">
        <v>0.85230475700455299</v>
      </c>
    </row>
    <row r="297" spans="2:4" x14ac:dyDescent="0.2">
      <c r="B297" s="2" t="s">
        <v>153</v>
      </c>
      <c r="C297" s="2" t="s">
        <v>114</v>
      </c>
      <c r="D297" s="2">
        <v>0.761231783337047</v>
      </c>
    </row>
    <row r="298" spans="2:4" x14ac:dyDescent="0.2">
      <c r="B298" s="2" t="s">
        <v>153</v>
      </c>
      <c r="C298" s="2" t="s">
        <v>115</v>
      </c>
      <c r="D298" s="2">
        <v>0.79578250774726</v>
      </c>
    </row>
    <row r="299" spans="2:4" x14ac:dyDescent="0.2">
      <c r="B299" s="2" t="s">
        <v>153</v>
      </c>
      <c r="C299" s="2" t="s">
        <v>116</v>
      </c>
      <c r="D299" s="2">
        <v>0.781343065568609</v>
      </c>
    </row>
    <row r="300" spans="2:4" x14ac:dyDescent="0.2">
      <c r="B300" s="2" t="s">
        <v>153</v>
      </c>
      <c r="C300" s="2" t="s">
        <v>117</v>
      </c>
      <c r="D300" s="2">
        <v>-0.60544826278458697</v>
      </c>
    </row>
    <row r="301" spans="2:4" x14ac:dyDescent="0.2">
      <c r="B301" s="2" t="s">
        <v>153</v>
      </c>
      <c r="C301" s="2" t="s">
        <v>119</v>
      </c>
      <c r="D301" s="2">
        <v>0.97645094760923401</v>
      </c>
    </row>
    <row r="302" spans="2:4" x14ac:dyDescent="0.2">
      <c r="B302" s="2" t="s">
        <v>153</v>
      </c>
      <c r="C302" s="2" t="s">
        <v>121</v>
      </c>
      <c r="D302" s="2">
        <v>0.77260357614984099</v>
      </c>
    </row>
    <row r="303" spans="2:4" x14ac:dyDescent="0.2">
      <c r="B303" s="2" t="s">
        <v>153</v>
      </c>
      <c r="C303" s="2" t="s">
        <v>122</v>
      </c>
      <c r="D303" s="2">
        <v>0.90628663393235398</v>
      </c>
    </row>
    <row r="304" spans="2:4" x14ac:dyDescent="0.2">
      <c r="B304" s="2" t="s">
        <v>153</v>
      </c>
      <c r="C304" s="2" t="s">
        <v>123</v>
      </c>
      <c r="D304" s="2">
        <v>0.781343065568609</v>
      </c>
    </row>
    <row r="305" spans="2:4" x14ac:dyDescent="0.2">
      <c r="B305" s="2" t="s">
        <v>153</v>
      </c>
      <c r="C305" s="2" t="s">
        <v>124</v>
      </c>
      <c r="D305" s="2">
        <v>0.66522946997708299</v>
      </c>
    </row>
    <row r="306" spans="2:4" x14ac:dyDescent="0.2">
      <c r="B306" s="2" t="s">
        <v>153</v>
      </c>
      <c r="C306" s="2" t="s">
        <v>157</v>
      </c>
      <c r="D306" s="2">
        <v>0.74716151278577203</v>
      </c>
    </row>
    <row r="307" spans="2:4" x14ac:dyDescent="0.2">
      <c r="B307" s="2" t="s">
        <v>153</v>
      </c>
      <c r="C307" s="2" t="s">
        <v>125</v>
      </c>
      <c r="D307" s="2">
        <v>0.92834512224371502</v>
      </c>
    </row>
    <row r="308" spans="2:4" x14ac:dyDescent="0.2">
      <c r="B308" s="2" t="s">
        <v>153</v>
      </c>
      <c r="C308" s="2" t="s">
        <v>129</v>
      </c>
      <c r="D308" s="2">
        <v>0.83713086096645695</v>
      </c>
    </row>
    <row r="309" spans="2:4" x14ac:dyDescent="0.2">
      <c r="B309" s="2" t="s">
        <v>153</v>
      </c>
      <c r="C309" s="2" t="s">
        <v>130</v>
      </c>
      <c r="D309" s="2">
        <v>0.97145465452783697</v>
      </c>
    </row>
    <row r="310" spans="2:4" x14ac:dyDescent="0.2">
      <c r="B310" s="2" t="s">
        <v>153</v>
      </c>
      <c r="C310" s="2" t="s">
        <v>158</v>
      </c>
      <c r="D310" s="2">
        <v>0.76981108371214102</v>
      </c>
    </row>
    <row r="311" spans="2:4" x14ac:dyDescent="0.2">
      <c r="B311" s="2" t="s">
        <v>153</v>
      </c>
      <c r="C311" s="2" t="s">
        <v>131</v>
      </c>
      <c r="D311" s="2">
        <v>0.68190534073920195</v>
      </c>
    </row>
    <row r="312" spans="2:4" x14ac:dyDescent="0.2">
      <c r="B312" s="2" t="s">
        <v>153</v>
      </c>
      <c r="C312" s="2" t="s">
        <v>132</v>
      </c>
      <c r="D312" s="2">
        <v>0.68211186687802094</v>
      </c>
    </row>
    <row r="313" spans="2:4" x14ac:dyDescent="0.2">
      <c r="B313" s="2" t="s">
        <v>153</v>
      </c>
      <c r="C313" s="2" t="s">
        <v>133</v>
      </c>
      <c r="D313" s="2">
        <v>0.71203010501789699</v>
      </c>
    </row>
    <row r="314" spans="2:4" x14ac:dyDescent="0.2">
      <c r="B314" s="2" t="s">
        <v>153</v>
      </c>
      <c r="C314" s="2" t="s">
        <v>134</v>
      </c>
      <c r="D314" s="2">
        <v>0.93658265594856205</v>
      </c>
    </row>
    <row r="315" spans="2:4" x14ac:dyDescent="0.2">
      <c r="B315" s="2" t="s">
        <v>153</v>
      </c>
      <c r="C315" s="2" t="s">
        <v>135</v>
      </c>
      <c r="D315" s="2">
        <v>0.82365240974132803</v>
      </c>
    </row>
    <row r="316" spans="2:4" x14ac:dyDescent="0.2">
      <c r="B316" s="2" t="s">
        <v>153</v>
      </c>
      <c r="C316" s="2" t="s">
        <v>136</v>
      </c>
      <c r="D316" s="2">
        <v>-0.64385103196943705</v>
      </c>
    </row>
    <row r="317" spans="2:4" x14ac:dyDescent="0.2">
      <c r="B317" s="2" t="s">
        <v>153</v>
      </c>
      <c r="C317" s="2" t="s">
        <v>155</v>
      </c>
      <c r="D317" s="2">
        <v>-0.809622509951053</v>
      </c>
    </row>
    <row r="318" spans="2:4" x14ac:dyDescent="0.2">
      <c r="B318" s="2" t="s">
        <v>153</v>
      </c>
      <c r="C318" s="2" t="s">
        <v>138</v>
      </c>
      <c r="D318" s="2">
        <v>0.66895654932077098</v>
      </c>
    </row>
    <row r="319" spans="2:4" x14ac:dyDescent="0.2">
      <c r="B319" s="2" t="s">
        <v>153</v>
      </c>
      <c r="C319" s="2" t="s">
        <v>139</v>
      </c>
      <c r="D319" s="2">
        <v>0.73653430055001901</v>
      </c>
    </row>
    <row r="320" spans="2:4" x14ac:dyDescent="0.2">
      <c r="B320" s="2" t="s">
        <v>153</v>
      </c>
      <c r="C320" s="2" t="s">
        <v>140</v>
      </c>
      <c r="D320" s="2">
        <v>0.78203293732811996</v>
      </c>
    </row>
    <row r="321" spans="2:4" x14ac:dyDescent="0.2">
      <c r="B321" s="2" t="s">
        <v>153</v>
      </c>
      <c r="C321" s="2" t="s">
        <v>141</v>
      </c>
      <c r="D321" s="2">
        <v>0.65774602740390198</v>
      </c>
    </row>
    <row r="322" spans="2:4" x14ac:dyDescent="0.2">
      <c r="B322" s="2" t="s">
        <v>153</v>
      </c>
      <c r="C322" s="2" t="s">
        <v>142</v>
      </c>
      <c r="D322" s="2">
        <v>-0.66581540603188505</v>
      </c>
    </row>
    <row r="323" spans="2:4" x14ac:dyDescent="0.2">
      <c r="B323" s="2" t="s">
        <v>153</v>
      </c>
      <c r="C323" s="2" t="s">
        <v>143</v>
      </c>
      <c r="D323" s="2">
        <v>0.765068745726039</v>
      </c>
    </row>
    <row r="324" spans="2:4" x14ac:dyDescent="0.2">
      <c r="B324" s="2" t="s">
        <v>160</v>
      </c>
      <c r="C324" s="2" t="s">
        <v>161</v>
      </c>
      <c r="D324" s="2">
        <v>-0.66929201113952996</v>
      </c>
    </row>
    <row r="325" spans="2:4" x14ac:dyDescent="0.2">
      <c r="B325" s="2" t="s">
        <v>160</v>
      </c>
      <c r="C325" s="2" t="s">
        <v>148</v>
      </c>
      <c r="D325" s="2">
        <v>0.80756159321924004</v>
      </c>
    </row>
    <row r="326" spans="2:4" x14ac:dyDescent="0.2">
      <c r="B326" s="2" t="s">
        <v>160</v>
      </c>
      <c r="C326" s="2" t="s">
        <v>149</v>
      </c>
      <c r="D326" s="2">
        <v>0.64941021978107005</v>
      </c>
    </row>
    <row r="327" spans="2:4" x14ac:dyDescent="0.2">
      <c r="B327" s="2" t="s">
        <v>160</v>
      </c>
      <c r="C327" s="2" t="s">
        <v>150</v>
      </c>
      <c r="D327" s="2">
        <v>0.81254255399810604</v>
      </c>
    </row>
    <row r="328" spans="2:4" x14ac:dyDescent="0.2">
      <c r="B328" s="2" t="s">
        <v>160</v>
      </c>
      <c r="C328" s="2" t="s">
        <v>157</v>
      </c>
      <c r="D328" s="2">
        <v>0.72770981293395698</v>
      </c>
    </row>
    <row r="329" spans="2:4" x14ac:dyDescent="0.2">
      <c r="B329" s="2" t="s">
        <v>160</v>
      </c>
      <c r="C329" s="2" t="s">
        <v>152</v>
      </c>
      <c r="D329" s="2">
        <v>-0.61103505132246105</v>
      </c>
    </row>
    <row r="330" spans="2:4" x14ac:dyDescent="0.2">
      <c r="B330" s="2" t="s">
        <v>161</v>
      </c>
      <c r="C330" s="2" t="s">
        <v>113</v>
      </c>
      <c r="D330" s="2">
        <v>0.67440776840126604</v>
      </c>
    </row>
    <row r="331" spans="2:4" x14ac:dyDescent="0.2">
      <c r="B331" s="2" t="s">
        <v>161</v>
      </c>
      <c r="C331" s="2" t="s">
        <v>162</v>
      </c>
      <c r="D331" s="2">
        <v>0.86129575270440595</v>
      </c>
    </row>
    <row r="332" spans="2:4" x14ac:dyDescent="0.2">
      <c r="B332" s="2" t="s">
        <v>161</v>
      </c>
      <c r="C332" s="2" t="s">
        <v>126</v>
      </c>
      <c r="D332" s="2">
        <v>0.65360651422701899</v>
      </c>
    </row>
    <row r="333" spans="2:4" x14ac:dyDescent="0.2">
      <c r="B333" s="2" t="s">
        <v>161</v>
      </c>
      <c r="C333" s="2" t="s">
        <v>147</v>
      </c>
      <c r="D333" s="2">
        <v>-0.68003573689965102</v>
      </c>
    </row>
    <row r="334" spans="2:4" x14ac:dyDescent="0.2">
      <c r="B334" s="2" t="s">
        <v>109</v>
      </c>
      <c r="C334" s="2" t="s">
        <v>110</v>
      </c>
      <c r="D334" s="2">
        <v>0.78130463578074305</v>
      </c>
    </row>
    <row r="335" spans="2:4" x14ac:dyDescent="0.2">
      <c r="B335" s="2" t="s">
        <v>109</v>
      </c>
      <c r="C335" s="2" t="s">
        <v>111</v>
      </c>
      <c r="D335" s="2">
        <v>0.95557565515957099</v>
      </c>
    </row>
    <row r="336" spans="2:4" x14ac:dyDescent="0.2">
      <c r="B336" s="2" t="s">
        <v>109</v>
      </c>
      <c r="C336" s="2" t="s">
        <v>112</v>
      </c>
      <c r="D336" s="2">
        <v>0.94800576043260598</v>
      </c>
    </row>
    <row r="337" spans="2:4" x14ac:dyDescent="0.2">
      <c r="B337" s="2" t="s">
        <v>109</v>
      </c>
      <c r="C337" s="2" t="s">
        <v>113</v>
      </c>
      <c r="D337" s="2">
        <v>-0.858942841470554</v>
      </c>
    </row>
    <row r="338" spans="2:4" x14ac:dyDescent="0.2">
      <c r="B338" s="2" t="s">
        <v>109</v>
      </c>
      <c r="C338" s="2" t="s">
        <v>114</v>
      </c>
      <c r="D338" s="2">
        <v>0.97319842815457003</v>
      </c>
    </row>
    <row r="339" spans="2:4" x14ac:dyDescent="0.2">
      <c r="B339" s="2" t="s">
        <v>109</v>
      </c>
      <c r="C339" s="2" t="s">
        <v>115</v>
      </c>
      <c r="D339" s="2">
        <v>0.77700572859555594</v>
      </c>
    </row>
    <row r="340" spans="2:4" x14ac:dyDescent="0.2">
      <c r="B340" s="2" t="s">
        <v>109</v>
      </c>
      <c r="C340" s="2" t="s">
        <v>116</v>
      </c>
      <c r="D340" s="2">
        <v>0.98920760800316498</v>
      </c>
    </row>
    <row r="341" spans="2:4" x14ac:dyDescent="0.2">
      <c r="B341" s="2" t="s">
        <v>109</v>
      </c>
      <c r="C341" s="2" t="s">
        <v>117</v>
      </c>
      <c r="D341" s="2">
        <v>-0.76594167888714704</v>
      </c>
    </row>
    <row r="342" spans="2:4" x14ac:dyDescent="0.2">
      <c r="B342" s="2" t="s">
        <v>109</v>
      </c>
      <c r="C342" s="2" t="s">
        <v>118</v>
      </c>
      <c r="D342" s="2">
        <v>0.81747033295710303</v>
      </c>
    </row>
    <row r="343" spans="2:4" x14ac:dyDescent="0.2">
      <c r="B343" s="2" t="s">
        <v>109</v>
      </c>
      <c r="C343" s="2" t="s">
        <v>119</v>
      </c>
      <c r="D343" s="2">
        <v>0.79558941137162398</v>
      </c>
    </row>
    <row r="344" spans="2:4" x14ac:dyDescent="0.2">
      <c r="B344" s="2" t="s">
        <v>109</v>
      </c>
      <c r="C344" s="2" t="s">
        <v>120</v>
      </c>
      <c r="D344" s="2">
        <v>0.89896200792938297</v>
      </c>
    </row>
    <row r="345" spans="2:4" x14ac:dyDescent="0.2">
      <c r="B345" s="2" t="s">
        <v>109</v>
      </c>
      <c r="C345" s="2" t="s">
        <v>121</v>
      </c>
      <c r="D345" s="2">
        <v>0.98243025706203901</v>
      </c>
    </row>
    <row r="346" spans="2:4" x14ac:dyDescent="0.2">
      <c r="B346" s="2" t="s">
        <v>109</v>
      </c>
      <c r="C346" s="2" t="s">
        <v>122</v>
      </c>
      <c r="D346" s="2">
        <v>0.81748383561779703</v>
      </c>
    </row>
    <row r="347" spans="2:4" x14ac:dyDescent="0.2">
      <c r="B347" s="2" t="s">
        <v>109</v>
      </c>
      <c r="C347" s="2" t="s">
        <v>123</v>
      </c>
      <c r="D347" s="2">
        <v>0.98920760800316498</v>
      </c>
    </row>
    <row r="348" spans="2:4" x14ac:dyDescent="0.2">
      <c r="B348" s="2" t="s">
        <v>109</v>
      </c>
      <c r="C348" s="2" t="s">
        <v>124</v>
      </c>
      <c r="D348" s="2">
        <v>0.99707422845016003</v>
      </c>
    </row>
    <row r="349" spans="2:4" x14ac:dyDescent="0.2">
      <c r="B349" s="2" t="s">
        <v>109</v>
      </c>
      <c r="C349" s="2" t="s">
        <v>125</v>
      </c>
      <c r="D349" s="2">
        <v>0.82985664171399298</v>
      </c>
    </row>
    <row r="350" spans="2:4" x14ac:dyDescent="0.2">
      <c r="B350" s="2" t="s">
        <v>109</v>
      </c>
      <c r="C350" s="2" t="s">
        <v>126</v>
      </c>
      <c r="D350" s="2">
        <v>-0.79592522578674396</v>
      </c>
    </row>
    <row r="351" spans="2:4" x14ac:dyDescent="0.2">
      <c r="B351" s="2" t="s">
        <v>109</v>
      </c>
      <c r="C351" s="2" t="s">
        <v>127</v>
      </c>
      <c r="D351" s="2">
        <v>0.96130095870367105</v>
      </c>
    </row>
    <row r="352" spans="2:4" x14ac:dyDescent="0.2">
      <c r="B352" s="2" t="s">
        <v>109</v>
      </c>
      <c r="C352" s="2" t="s">
        <v>128</v>
      </c>
      <c r="D352" s="2">
        <v>0.95127068143135596</v>
      </c>
    </row>
    <row r="353" spans="2:4" x14ac:dyDescent="0.2">
      <c r="B353" s="2" t="s">
        <v>109</v>
      </c>
      <c r="C353" s="2" t="s">
        <v>129</v>
      </c>
      <c r="D353" s="2">
        <v>0.91178168594606901</v>
      </c>
    </row>
    <row r="354" spans="2:4" x14ac:dyDescent="0.2">
      <c r="B354" s="2" t="s">
        <v>109</v>
      </c>
      <c r="C354" s="2" t="s">
        <v>130</v>
      </c>
      <c r="D354" s="2">
        <v>0.74677103655487997</v>
      </c>
    </row>
    <row r="355" spans="2:4" x14ac:dyDescent="0.2">
      <c r="B355" s="2" t="s">
        <v>109</v>
      </c>
      <c r="C355" s="2" t="s">
        <v>131</v>
      </c>
      <c r="D355" s="2">
        <v>0.99870856491031201</v>
      </c>
    </row>
    <row r="356" spans="2:4" x14ac:dyDescent="0.2">
      <c r="B356" s="2" t="s">
        <v>109</v>
      </c>
      <c r="C356" s="2" t="s">
        <v>132</v>
      </c>
      <c r="D356" s="2">
        <v>0.96252771611662702</v>
      </c>
    </row>
    <row r="357" spans="2:4" x14ac:dyDescent="0.2">
      <c r="B357" s="2" t="s">
        <v>109</v>
      </c>
      <c r="C357" s="2" t="s">
        <v>133</v>
      </c>
      <c r="D357" s="2">
        <v>0.98210989601715803</v>
      </c>
    </row>
    <row r="358" spans="2:4" x14ac:dyDescent="0.2">
      <c r="B358" s="2" t="s">
        <v>109</v>
      </c>
      <c r="C358" s="2" t="s">
        <v>134</v>
      </c>
      <c r="D358" s="2">
        <v>0.78574440574028104</v>
      </c>
    </row>
    <row r="359" spans="2:4" x14ac:dyDescent="0.2">
      <c r="B359" s="2" t="s">
        <v>109</v>
      </c>
      <c r="C359" s="2" t="s">
        <v>152</v>
      </c>
      <c r="D359" s="2">
        <v>0.60708421602657903</v>
      </c>
    </row>
    <row r="360" spans="2:4" x14ac:dyDescent="0.2">
      <c r="B360" s="2" t="s">
        <v>109</v>
      </c>
      <c r="C360" s="2" t="s">
        <v>135</v>
      </c>
      <c r="D360" s="2">
        <v>0.92880928941751995</v>
      </c>
    </row>
    <row r="361" spans="2:4" x14ac:dyDescent="0.2">
      <c r="B361" s="2" t="s">
        <v>109</v>
      </c>
      <c r="C361" s="2" t="s">
        <v>136</v>
      </c>
      <c r="D361" s="2">
        <v>-0.81850809631516996</v>
      </c>
    </row>
    <row r="362" spans="2:4" x14ac:dyDescent="0.2">
      <c r="B362" s="2" t="s">
        <v>109</v>
      </c>
      <c r="C362" s="2" t="s">
        <v>137</v>
      </c>
      <c r="D362" s="2">
        <v>0.76269585074694302</v>
      </c>
    </row>
    <row r="363" spans="2:4" x14ac:dyDescent="0.2">
      <c r="B363" s="2" t="s">
        <v>109</v>
      </c>
      <c r="C363" s="2" t="s">
        <v>138</v>
      </c>
      <c r="D363" s="2">
        <v>0.98242385715202896</v>
      </c>
    </row>
    <row r="364" spans="2:4" x14ac:dyDescent="0.2">
      <c r="B364" s="2" t="s">
        <v>109</v>
      </c>
      <c r="C364" s="2" t="s">
        <v>139</v>
      </c>
      <c r="D364" s="2">
        <v>0.99294379127071697</v>
      </c>
    </row>
    <row r="365" spans="2:4" x14ac:dyDescent="0.2">
      <c r="B365" s="2" t="s">
        <v>109</v>
      </c>
      <c r="C365" s="2" t="s">
        <v>140</v>
      </c>
      <c r="D365" s="2">
        <v>0.88013115464054603</v>
      </c>
    </row>
    <row r="366" spans="2:4" x14ac:dyDescent="0.2">
      <c r="B366" s="2" t="s">
        <v>109</v>
      </c>
      <c r="C366" s="2" t="s">
        <v>141</v>
      </c>
      <c r="D366" s="2">
        <v>0.99857630833822097</v>
      </c>
    </row>
    <row r="367" spans="2:4" x14ac:dyDescent="0.2">
      <c r="B367" s="2" t="s">
        <v>109</v>
      </c>
      <c r="C367" s="2" t="s">
        <v>142</v>
      </c>
      <c r="D367" s="2">
        <v>-0.81300520663912601</v>
      </c>
    </row>
    <row r="368" spans="2:4" x14ac:dyDescent="0.2">
      <c r="B368" s="2" t="s">
        <v>109</v>
      </c>
      <c r="C368" s="2" t="s">
        <v>143</v>
      </c>
      <c r="D368" s="2">
        <v>0.88275395960504299</v>
      </c>
    </row>
    <row r="369" spans="2:4" x14ac:dyDescent="0.2">
      <c r="B369" s="2" t="s">
        <v>156</v>
      </c>
      <c r="C369" s="2" t="s">
        <v>149</v>
      </c>
      <c r="D369" s="2">
        <v>0.61402731682825296</v>
      </c>
    </row>
    <row r="370" spans="2:4" x14ac:dyDescent="0.2">
      <c r="B370" s="2" t="s">
        <v>156</v>
      </c>
      <c r="C370" s="2" t="s">
        <v>119</v>
      </c>
      <c r="D370" s="2">
        <v>0.60879546132713702</v>
      </c>
    </row>
    <row r="371" spans="2:4" x14ac:dyDescent="0.2">
      <c r="B371" s="2" t="s">
        <v>156</v>
      </c>
      <c r="C371" s="2" t="s">
        <v>162</v>
      </c>
      <c r="D371" s="2">
        <v>0.60085190551555301</v>
      </c>
    </row>
    <row r="372" spans="2:4" x14ac:dyDescent="0.2">
      <c r="B372" s="2" t="s">
        <v>156</v>
      </c>
      <c r="C372" s="2" t="s">
        <v>157</v>
      </c>
      <c r="D372" s="2">
        <v>0.71581599079636304</v>
      </c>
    </row>
    <row r="373" spans="2:4" x14ac:dyDescent="0.2">
      <c r="B373" s="2" t="s">
        <v>156</v>
      </c>
      <c r="C373" s="2" t="s">
        <v>130</v>
      </c>
      <c r="D373" s="2">
        <v>0.63664964527124501</v>
      </c>
    </row>
    <row r="374" spans="2:4" x14ac:dyDescent="0.2">
      <c r="B374" s="2" t="s">
        <v>156</v>
      </c>
      <c r="C374" s="2" t="s">
        <v>158</v>
      </c>
      <c r="D374" s="2">
        <v>0.87116179540017802</v>
      </c>
    </row>
    <row r="375" spans="2:4" x14ac:dyDescent="0.2">
      <c r="B375" s="2" t="s">
        <v>156</v>
      </c>
      <c r="C375" s="2" t="s">
        <v>151</v>
      </c>
      <c r="D375" s="2">
        <v>0.78981208270999304</v>
      </c>
    </row>
    <row r="376" spans="2:4" x14ac:dyDescent="0.2">
      <c r="B376" s="2" t="s">
        <v>156</v>
      </c>
      <c r="C376" s="2" t="s">
        <v>134</v>
      </c>
      <c r="D376" s="2">
        <v>0.61805773945326004</v>
      </c>
    </row>
    <row r="377" spans="2:4" x14ac:dyDescent="0.2">
      <c r="B377" s="2" t="s">
        <v>110</v>
      </c>
      <c r="C377" s="2" t="s">
        <v>111</v>
      </c>
      <c r="D377" s="2">
        <v>0.87571135343982898</v>
      </c>
    </row>
    <row r="378" spans="2:4" x14ac:dyDescent="0.2">
      <c r="B378" s="2" t="s">
        <v>110</v>
      </c>
      <c r="C378" s="2" t="s">
        <v>112</v>
      </c>
      <c r="D378" s="2">
        <v>0.92527113605392297</v>
      </c>
    </row>
    <row r="379" spans="2:4" x14ac:dyDescent="0.2">
      <c r="B379" s="2" t="s">
        <v>110</v>
      </c>
      <c r="C379" s="2" t="s">
        <v>114</v>
      </c>
      <c r="D379" s="2">
        <v>0.80870664214559895</v>
      </c>
    </row>
    <row r="380" spans="2:4" x14ac:dyDescent="0.2">
      <c r="B380" s="2" t="s">
        <v>110</v>
      </c>
      <c r="C380" s="2" t="s">
        <v>115</v>
      </c>
      <c r="D380" s="2">
        <v>0.82224011085169602</v>
      </c>
    </row>
    <row r="381" spans="2:4" x14ac:dyDescent="0.2">
      <c r="B381" s="2" t="s">
        <v>110</v>
      </c>
      <c r="C381" s="2" t="s">
        <v>116</v>
      </c>
      <c r="D381" s="2">
        <v>0.84357604670373898</v>
      </c>
    </row>
    <row r="382" spans="2:4" x14ac:dyDescent="0.2">
      <c r="B382" s="2" t="s">
        <v>110</v>
      </c>
      <c r="C382" s="2" t="s">
        <v>117</v>
      </c>
      <c r="D382" s="2">
        <v>-0.63517793647981102</v>
      </c>
    </row>
    <row r="383" spans="2:4" x14ac:dyDescent="0.2">
      <c r="B383" s="2" t="s">
        <v>110</v>
      </c>
      <c r="C383" s="2" t="s">
        <v>119</v>
      </c>
      <c r="D383" s="2">
        <v>0.95901932190907802</v>
      </c>
    </row>
    <row r="384" spans="2:4" x14ac:dyDescent="0.2">
      <c r="B384" s="2" t="s">
        <v>110</v>
      </c>
      <c r="C384" s="2" t="s">
        <v>121</v>
      </c>
      <c r="D384" s="2">
        <v>0.85931434268843998</v>
      </c>
    </row>
    <row r="385" spans="2:4" x14ac:dyDescent="0.2">
      <c r="B385" s="2" t="s">
        <v>110</v>
      </c>
      <c r="C385" s="2" t="s">
        <v>122</v>
      </c>
      <c r="D385" s="2">
        <v>0.86626427597218802</v>
      </c>
    </row>
    <row r="386" spans="2:4" x14ac:dyDescent="0.2">
      <c r="B386" s="2" t="s">
        <v>110</v>
      </c>
      <c r="C386" s="2" t="s">
        <v>123</v>
      </c>
      <c r="D386" s="2">
        <v>0.84357604670373898</v>
      </c>
    </row>
    <row r="387" spans="2:4" x14ac:dyDescent="0.2">
      <c r="B387" s="2" t="s">
        <v>110</v>
      </c>
      <c r="C387" s="2" t="s">
        <v>124</v>
      </c>
      <c r="D387" s="2">
        <v>0.75467864478064595</v>
      </c>
    </row>
    <row r="388" spans="2:4" x14ac:dyDescent="0.2">
      <c r="B388" s="2" t="s">
        <v>110</v>
      </c>
      <c r="C388" s="2" t="s">
        <v>157</v>
      </c>
      <c r="D388" s="2">
        <v>0.73518242608109696</v>
      </c>
    </row>
    <row r="389" spans="2:4" x14ac:dyDescent="0.2">
      <c r="B389" s="2" t="s">
        <v>110</v>
      </c>
      <c r="C389" s="2" t="s">
        <v>125</v>
      </c>
      <c r="D389" s="2">
        <v>0.95548364653460405</v>
      </c>
    </row>
    <row r="390" spans="2:4" x14ac:dyDescent="0.2">
      <c r="B390" s="2" t="s">
        <v>110</v>
      </c>
      <c r="C390" s="2" t="s">
        <v>127</v>
      </c>
      <c r="D390" s="2">
        <v>0.62035079675592797</v>
      </c>
    </row>
    <row r="391" spans="2:4" x14ac:dyDescent="0.2">
      <c r="B391" s="2" t="s">
        <v>110</v>
      </c>
      <c r="C391" s="2" t="s">
        <v>128</v>
      </c>
      <c r="D391" s="2">
        <v>0.61259556315984798</v>
      </c>
    </row>
    <row r="392" spans="2:4" x14ac:dyDescent="0.2">
      <c r="B392" s="2" t="s">
        <v>110</v>
      </c>
      <c r="C392" s="2" t="s">
        <v>129</v>
      </c>
      <c r="D392" s="2">
        <v>0.83848769524952405</v>
      </c>
    </row>
    <row r="393" spans="2:4" x14ac:dyDescent="0.2">
      <c r="B393" s="2" t="s">
        <v>110</v>
      </c>
      <c r="C393" s="2" t="s">
        <v>130</v>
      </c>
      <c r="D393" s="2">
        <v>0.96154909631337204</v>
      </c>
    </row>
    <row r="394" spans="2:4" x14ac:dyDescent="0.2">
      <c r="B394" s="2" t="s">
        <v>110</v>
      </c>
      <c r="C394" s="2" t="s">
        <v>158</v>
      </c>
      <c r="D394" s="2">
        <v>0.61213297559212798</v>
      </c>
    </row>
    <row r="395" spans="2:4" x14ac:dyDescent="0.2">
      <c r="B395" s="2" t="s">
        <v>110</v>
      </c>
      <c r="C395" s="2" t="s">
        <v>131</v>
      </c>
      <c r="D395" s="2">
        <v>0.77479506128550801</v>
      </c>
    </row>
    <row r="396" spans="2:4" x14ac:dyDescent="0.2">
      <c r="B396" s="2" t="s">
        <v>110</v>
      </c>
      <c r="C396" s="2" t="s">
        <v>132</v>
      </c>
      <c r="D396" s="2">
        <v>0.71673994634320704</v>
      </c>
    </row>
    <row r="397" spans="2:4" x14ac:dyDescent="0.2">
      <c r="B397" s="2" t="s">
        <v>110</v>
      </c>
      <c r="C397" s="2" t="s">
        <v>133</v>
      </c>
      <c r="D397" s="2">
        <v>0.82178688295194102</v>
      </c>
    </row>
    <row r="398" spans="2:4" x14ac:dyDescent="0.2">
      <c r="B398" s="2" t="s">
        <v>110</v>
      </c>
      <c r="C398" s="2" t="s">
        <v>134</v>
      </c>
      <c r="D398" s="2">
        <v>0.91134924079023705</v>
      </c>
    </row>
    <row r="399" spans="2:4" x14ac:dyDescent="0.2">
      <c r="B399" s="2" t="s">
        <v>110</v>
      </c>
      <c r="C399" s="2" t="s">
        <v>135</v>
      </c>
      <c r="D399" s="2">
        <v>0.86063651233610206</v>
      </c>
    </row>
    <row r="400" spans="2:4" x14ac:dyDescent="0.2">
      <c r="B400" s="2" t="s">
        <v>110</v>
      </c>
      <c r="C400" s="2" t="s">
        <v>136</v>
      </c>
      <c r="D400" s="2">
        <v>-0.68221942250824497</v>
      </c>
    </row>
    <row r="401" spans="2:4" x14ac:dyDescent="0.2">
      <c r="B401" s="2" t="s">
        <v>110</v>
      </c>
      <c r="C401" s="2" t="s">
        <v>155</v>
      </c>
      <c r="D401" s="2">
        <v>-0.83494397051723102</v>
      </c>
    </row>
    <row r="402" spans="2:4" x14ac:dyDescent="0.2">
      <c r="B402" s="2" t="s">
        <v>110</v>
      </c>
      <c r="C402" s="2" t="s">
        <v>138</v>
      </c>
      <c r="D402" s="2">
        <v>0.74685337717479305</v>
      </c>
    </row>
    <row r="403" spans="2:4" x14ac:dyDescent="0.2">
      <c r="B403" s="2" t="s">
        <v>110</v>
      </c>
      <c r="C403" s="2" t="s">
        <v>139</v>
      </c>
      <c r="D403" s="2">
        <v>0.80293436637450499</v>
      </c>
    </row>
    <row r="404" spans="2:4" x14ac:dyDescent="0.2">
      <c r="B404" s="2" t="s">
        <v>110</v>
      </c>
      <c r="C404" s="2" t="s">
        <v>140</v>
      </c>
      <c r="D404" s="2">
        <v>0.76053079656614297</v>
      </c>
    </row>
    <row r="405" spans="2:4" x14ac:dyDescent="0.2">
      <c r="B405" s="2" t="s">
        <v>110</v>
      </c>
      <c r="C405" s="2" t="s">
        <v>141</v>
      </c>
      <c r="D405" s="2">
        <v>0.75464763678663604</v>
      </c>
    </row>
    <row r="406" spans="2:4" x14ac:dyDescent="0.2">
      <c r="B406" s="2" t="s">
        <v>110</v>
      </c>
      <c r="C406" s="2" t="s">
        <v>142</v>
      </c>
      <c r="D406" s="2">
        <v>-0.70323518846192001</v>
      </c>
    </row>
    <row r="407" spans="2:4" x14ac:dyDescent="0.2">
      <c r="B407" s="2" t="s">
        <v>110</v>
      </c>
      <c r="C407" s="2" t="s">
        <v>143</v>
      </c>
      <c r="D407" s="2">
        <v>0.74189897178069997</v>
      </c>
    </row>
    <row r="408" spans="2:4" x14ac:dyDescent="0.2">
      <c r="B408" s="2" t="s">
        <v>111</v>
      </c>
      <c r="C408" s="2" t="s">
        <v>112</v>
      </c>
      <c r="D408" s="2">
        <v>0.97501386591080197</v>
      </c>
    </row>
    <row r="409" spans="2:4" x14ac:dyDescent="0.2">
      <c r="B409" s="2" t="s">
        <v>111</v>
      </c>
      <c r="C409" s="2" t="s">
        <v>113</v>
      </c>
      <c r="D409" s="2">
        <v>-0.81499244264305604</v>
      </c>
    </row>
    <row r="410" spans="2:4" x14ac:dyDescent="0.2">
      <c r="B410" s="2" t="s">
        <v>111</v>
      </c>
      <c r="C410" s="2" t="s">
        <v>114</v>
      </c>
      <c r="D410" s="2">
        <v>0.98025399961124904</v>
      </c>
    </row>
    <row r="411" spans="2:4" x14ac:dyDescent="0.2">
      <c r="B411" s="2" t="s">
        <v>111</v>
      </c>
      <c r="C411" s="2" t="s">
        <v>115</v>
      </c>
      <c r="D411" s="2">
        <v>0.91451255190181902</v>
      </c>
    </row>
    <row r="412" spans="2:4" x14ac:dyDescent="0.2">
      <c r="B412" s="2" t="s">
        <v>111</v>
      </c>
      <c r="C412" s="2" t="s">
        <v>116</v>
      </c>
      <c r="D412" s="2">
        <v>0.97758993806254302</v>
      </c>
    </row>
    <row r="413" spans="2:4" x14ac:dyDescent="0.2">
      <c r="B413" s="2" t="s">
        <v>111</v>
      </c>
      <c r="C413" s="2" t="s">
        <v>117</v>
      </c>
      <c r="D413" s="2">
        <v>-0.69254788986401805</v>
      </c>
    </row>
    <row r="414" spans="2:4" x14ac:dyDescent="0.2">
      <c r="B414" s="2" t="s">
        <v>111</v>
      </c>
      <c r="C414" s="2" t="s">
        <v>118</v>
      </c>
      <c r="D414" s="2">
        <v>0.75076784400678098</v>
      </c>
    </row>
    <row r="415" spans="2:4" x14ac:dyDescent="0.2">
      <c r="B415" s="2" t="s">
        <v>111</v>
      </c>
      <c r="C415" s="2" t="s">
        <v>119</v>
      </c>
      <c r="D415" s="2">
        <v>0.86174492199541097</v>
      </c>
    </row>
    <row r="416" spans="2:4" x14ac:dyDescent="0.2">
      <c r="B416" s="2" t="s">
        <v>111</v>
      </c>
      <c r="C416" s="2" t="s">
        <v>120</v>
      </c>
      <c r="D416" s="2">
        <v>0.73087719474685098</v>
      </c>
    </row>
    <row r="417" spans="2:4" x14ac:dyDescent="0.2">
      <c r="B417" s="2" t="s">
        <v>111</v>
      </c>
      <c r="C417" s="2" t="s">
        <v>121</v>
      </c>
      <c r="D417" s="2">
        <v>0.98916448045585204</v>
      </c>
    </row>
    <row r="418" spans="2:4" x14ac:dyDescent="0.2">
      <c r="B418" s="2" t="s">
        <v>111</v>
      </c>
      <c r="C418" s="2" t="s">
        <v>122</v>
      </c>
      <c r="D418" s="2">
        <v>0.84727481164100504</v>
      </c>
    </row>
    <row r="419" spans="2:4" x14ac:dyDescent="0.2">
      <c r="B419" s="2" t="s">
        <v>111</v>
      </c>
      <c r="C419" s="2" t="s">
        <v>123</v>
      </c>
      <c r="D419" s="2">
        <v>0.97758993806254302</v>
      </c>
    </row>
    <row r="420" spans="2:4" x14ac:dyDescent="0.2">
      <c r="B420" s="2" t="s">
        <v>111</v>
      </c>
      <c r="C420" s="2" t="s">
        <v>124</v>
      </c>
      <c r="D420" s="2">
        <v>0.95600775906190105</v>
      </c>
    </row>
    <row r="421" spans="2:4" x14ac:dyDescent="0.2">
      <c r="B421" s="2" t="s">
        <v>111</v>
      </c>
      <c r="C421" s="2" t="s">
        <v>125</v>
      </c>
      <c r="D421" s="2">
        <v>0.87538792559939504</v>
      </c>
    </row>
    <row r="422" spans="2:4" x14ac:dyDescent="0.2">
      <c r="B422" s="2" t="s">
        <v>111</v>
      </c>
      <c r="C422" s="2" t="s">
        <v>126</v>
      </c>
      <c r="D422" s="2">
        <v>-0.66917246919736295</v>
      </c>
    </row>
    <row r="423" spans="2:4" x14ac:dyDescent="0.2">
      <c r="B423" s="2" t="s">
        <v>111</v>
      </c>
      <c r="C423" s="2" t="s">
        <v>127</v>
      </c>
      <c r="D423" s="2">
        <v>0.90059394555319405</v>
      </c>
    </row>
    <row r="424" spans="2:4" x14ac:dyDescent="0.2">
      <c r="B424" s="2" t="s">
        <v>111</v>
      </c>
      <c r="C424" s="2" t="s">
        <v>128</v>
      </c>
      <c r="D424" s="2">
        <v>0.88302145117463504</v>
      </c>
    </row>
    <row r="425" spans="2:4" x14ac:dyDescent="0.2">
      <c r="B425" s="2" t="s">
        <v>111</v>
      </c>
      <c r="C425" s="2" t="s">
        <v>129</v>
      </c>
      <c r="D425" s="2">
        <v>0.89378123389263997</v>
      </c>
    </row>
    <row r="426" spans="2:4" x14ac:dyDescent="0.2">
      <c r="B426" s="2" t="s">
        <v>111</v>
      </c>
      <c r="C426" s="2" t="s">
        <v>130</v>
      </c>
      <c r="D426" s="2">
        <v>0.82989476123196004</v>
      </c>
    </row>
    <row r="427" spans="2:4" x14ac:dyDescent="0.2">
      <c r="B427" s="2" t="s">
        <v>111</v>
      </c>
      <c r="C427" s="2" t="s">
        <v>131</v>
      </c>
      <c r="D427" s="2">
        <v>0.96029189340541798</v>
      </c>
    </row>
    <row r="428" spans="2:4" x14ac:dyDescent="0.2">
      <c r="B428" s="2" t="s">
        <v>111</v>
      </c>
      <c r="C428" s="2" t="s">
        <v>132</v>
      </c>
      <c r="D428" s="2">
        <v>0.92038569300861905</v>
      </c>
    </row>
    <row r="429" spans="2:4" x14ac:dyDescent="0.2">
      <c r="B429" s="2" t="s">
        <v>111</v>
      </c>
      <c r="C429" s="2" t="s">
        <v>133</v>
      </c>
      <c r="D429" s="2">
        <v>0.97202348290260698</v>
      </c>
    </row>
    <row r="430" spans="2:4" x14ac:dyDescent="0.2">
      <c r="B430" s="2" t="s">
        <v>111</v>
      </c>
      <c r="C430" s="2" t="s">
        <v>134</v>
      </c>
      <c r="D430" s="2">
        <v>0.81299534641378302</v>
      </c>
    </row>
    <row r="431" spans="2:4" x14ac:dyDescent="0.2">
      <c r="B431" s="2" t="s">
        <v>111</v>
      </c>
      <c r="C431" s="2" t="s">
        <v>135</v>
      </c>
      <c r="D431" s="2">
        <v>0.90262224021986504</v>
      </c>
    </row>
    <row r="432" spans="2:4" x14ac:dyDescent="0.2">
      <c r="B432" s="2" t="s">
        <v>111</v>
      </c>
      <c r="C432" s="2" t="s">
        <v>136</v>
      </c>
      <c r="D432" s="2">
        <v>-0.75877882254650497</v>
      </c>
    </row>
    <row r="433" spans="2:4" x14ac:dyDescent="0.2">
      <c r="B433" s="2" t="s">
        <v>111</v>
      </c>
      <c r="C433" s="2" t="s">
        <v>137</v>
      </c>
      <c r="D433" s="2">
        <v>0.75103169405919201</v>
      </c>
    </row>
    <row r="434" spans="2:4" x14ac:dyDescent="0.2">
      <c r="B434" s="2" t="s">
        <v>111</v>
      </c>
      <c r="C434" s="2" t="s">
        <v>155</v>
      </c>
      <c r="D434" s="2">
        <v>-0.64837921423673495</v>
      </c>
    </row>
    <row r="435" spans="2:4" x14ac:dyDescent="0.2">
      <c r="B435" s="2" t="s">
        <v>111</v>
      </c>
      <c r="C435" s="2" t="s">
        <v>138</v>
      </c>
      <c r="D435" s="2">
        <v>0.91888950223292998</v>
      </c>
    </row>
    <row r="436" spans="2:4" x14ac:dyDescent="0.2">
      <c r="B436" s="2" t="s">
        <v>111</v>
      </c>
      <c r="C436" s="2" t="s">
        <v>139</v>
      </c>
      <c r="D436" s="2">
        <v>0.96824005044486805</v>
      </c>
    </row>
    <row r="437" spans="2:4" x14ac:dyDescent="0.2">
      <c r="B437" s="2" t="s">
        <v>111</v>
      </c>
      <c r="C437" s="2" t="s">
        <v>140</v>
      </c>
      <c r="D437" s="2">
        <v>0.89083834273235496</v>
      </c>
    </row>
    <row r="438" spans="2:4" x14ac:dyDescent="0.2">
      <c r="B438" s="2" t="s">
        <v>111</v>
      </c>
      <c r="C438" s="2" t="s">
        <v>141</v>
      </c>
      <c r="D438" s="2">
        <v>0.939257950720507</v>
      </c>
    </row>
    <row r="439" spans="2:4" x14ac:dyDescent="0.2">
      <c r="B439" s="2" t="s">
        <v>111</v>
      </c>
      <c r="C439" s="2" t="s">
        <v>142</v>
      </c>
      <c r="D439" s="2">
        <v>-0.77291293665018301</v>
      </c>
    </row>
    <row r="440" spans="2:4" x14ac:dyDescent="0.2">
      <c r="B440" s="2" t="s">
        <v>111</v>
      </c>
      <c r="C440" s="2" t="s">
        <v>143</v>
      </c>
      <c r="D440" s="2">
        <v>0.86271366320087495</v>
      </c>
    </row>
    <row r="441" spans="2:4" x14ac:dyDescent="0.2">
      <c r="B441" s="2" t="s">
        <v>111</v>
      </c>
      <c r="C441" s="2" t="s">
        <v>159</v>
      </c>
      <c r="D441" s="2">
        <v>-0.68890261387023799</v>
      </c>
    </row>
    <row r="442" spans="2:4" x14ac:dyDescent="0.2">
      <c r="B442" s="2" t="s">
        <v>112</v>
      </c>
      <c r="C442" s="2" t="s">
        <v>113</v>
      </c>
      <c r="D442" s="2">
        <v>-0.82322050020468795</v>
      </c>
    </row>
    <row r="443" spans="2:4" x14ac:dyDescent="0.2">
      <c r="B443" s="2" t="s">
        <v>112</v>
      </c>
      <c r="C443" s="2" t="s">
        <v>114</v>
      </c>
      <c r="D443" s="2">
        <v>0.95318380069267605</v>
      </c>
    </row>
    <row r="444" spans="2:4" x14ac:dyDescent="0.2">
      <c r="B444" s="2" t="s">
        <v>112</v>
      </c>
      <c r="C444" s="2" t="s">
        <v>115</v>
      </c>
      <c r="D444" s="2">
        <v>0.87986710408328594</v>
      </c>
    </row>
    <row r="445" spans="2:4" x14ac:dyDescent="0.2">
      <c r="B445" s="2" t="s">
        <v>112</v>
      </c>
      <c r="C445" s="2" t="s">
        <v>116</v>
      </c>
      <c r="D445" s="2">
        <v>0.97096091623066405</v>
      </c>
    </row>
    <row r="446" spans="2:4" x14ac:dyDescent="0.2">
      <c r="B446" s="2" t="s">
        <v>112</v>
      </c>
      <c r="C446" s="2" t="s">
        <v>117</v>
      </c>
      <c r="D446" s="2">
        <v>-0.66843109110446697</v>
      </c>
    </row>
    <row r="447" spans="2:4" x14ac:dyDescent="0.2">
      <c r="B447" s="2" t="s">
        <v>112</v>
      </c>
      <c r="C447" s="2" t="s">
        <v>118</v>
      </c>
      <c r="D447" s="2">
        <v>0.78522124870309895</v>
      </c>
    </row>
    <row r="448" spans="2:4" x14ac:dyDescent="0.2">
      <c r="B448" s="2" t="s">
        <v>112</v>
      </c>
      <c r="C448" s="2" t="s">
        <v>119</v>
      </c>
      <c r="D448" s="2">
        <v>0.90060858470015204</v>
      </c>
    </row>
    <row r="449" spans="2:4" x14ac:dyDescent="0.2">
      <c r="B449" s="2" t="s">
        <v>112</v>
      </c>
      <c r="C449" s="2" t="s">
        <v>120</v>
      </c>
      <c r="D449" s="2">
        <v>0.75539344010363096</v>
      </c>
    </row>
    <row r="450" spans="2:4" x14ac:dyDescent="0.2">
      <c r="B450" s="2" t="s">
        <v>112</v>
      </c>
      <c r="C450" s="2" t="s">
        <v>121</v>
      </c>
      <c r="D450" s="2">
        <v>0.98276305929819896</v>
      </c>
    </row>
    <row r="451" spans="2:4" x14ac:dyDescent="0.2">
      <c r="B451" s="2" t="s">
        <v>112</v>
      </c>
      <c r="C451" s="2" t="s">
        <v>122</v>
      </c>
      <c r="D451" s="2">
        <v>0.85614196234992401</v>
      </c>
    </row>
    <row r="452" spans="2:4" x14ac:dyDescent="0.2">
      <c r="B452" s="2" t="s">
        <v>112</v>
      </c>
      <c r="C452" s="2" t="s">
        <v>123</v>
      </c>
      <c r="D452" s="2">
        <v>0.97096091623066405</v>
      </c>
    </row>
    <row r="453" spans="2:4" x14ac:dyDescent="0.2">
      <c r="B453" s="2" t="s">
        <v>112</v>
      </c>
      <c r="C453" s="2" t="s">
        <v>124</v>
      </c>
      <c r="D453" s="2">
        <v>0.93190437737528897</v>
      </c>
    </row>
    <row r="454" spans="2:4" x14ac:dyDescent="0.2">
      <c r="B454" s="2" t="s">
        <v>112</v>
      </c>
      <c r="C454" s="2" t="s">
        <v>125</v>
      </c>
      <c r="D454" s="2">
        <v>0.90131595516972496</v>
      </c>
    </row>
    <row r="455" spans="2:4" x14ac:dyDescent="0.2">
      <c r="B455" s="2" t="s">
        <v>112</v>
      </c>
      <c r="C455" s="2" t="s">
        <v>126</v>
      </c>
      <c r="D455" s="2">
        <v>-0.70200232772914095</v>
      </c>
    </row>
    <row r="456" spans="2:4" x14ac:dyDescent="0.2">
      <c r="B456" s="2" t="s">
        <v>112</v>
      </c>
      <c r="C456" s="2" t="s">
        <v>127</v>
      </c>
      <c r="D456" s="2">
        <v>0.86150542241276395</v>
      </c>
    </row>
    <row r="457" spans="2:4" x14ac:dyDescent="0.2">
      <c r="B457" s="2" t="s">
        <v>112</v>
      </c>
      <c r="C457" s="2" t="s">
        <v>128</v>
      </c>
      <c r="D457" s="2">
        <v>0.84082459404604204</v>
      </c>
    </row>
    <row r="458" spans="2:4" x14ac:dyDescent="0.2">
      <c r="B458" s="2" t="s">
        <v>112</v>
      </c>
      <c r="C458" s="2" t="s">
        <v>129</v>
      </c>
      <c r="D458" s="2">
        <v>0.90567050023621098</v>
      </c>
    </row>
    <row r="459" spans="2:4" x14ac:dyDescent="0.2">
      <c r="B459" s="2" t="s">
        <v>112</v>
      </c>
      <c r="C459" s="2" t="s">
        <v>130</v>
      </c>
      <c r="D459" s="2">
        <v>0.85739848588924095</v>
      </c>
    </row>
    <row r="460" spans="2:4" x14ac:dyDescent="0.2">
      <c r="B460" s="2" t="s">
        <v>112</v>
      </c>
      <c r="C460" s="2" t="s">
        <v>131</v>
      </c>
      <c r="D460" s="2">
        <v>0.94389601913000098</v>
      </c>
    </row>
    <row r="461" spans="2:4" x14ac:dyDescent="0.2">
      <c r="B461" s="2" t="s">
        <v>112</v>
      </c>
      <c r="C461" s="2" t="s">
        <v>132</v>
      </c>
      <c r="D461" s="2">
        <v>0.88045346303140004</v>
      </c>
    </row>
    <row r="462" spans="2:4" x14ac:dyDescent="0.2">
      <c r="B462" s="2" t="s">
        <v>112</v>
      </c>
      <c r="C462" s="2" t="s">
        <v>133</v>
      </c>
      <c r="D462" s="2">
        <v>0.96452840665587103</v>
      </c>
    </row>
    <row r="463" spans="2:4" x14ac:dyDescent="0.2">
      <c r="B463" s="2" t="s">
        <v>112</v>
      </c>
      <c r="C463" s="2" t="s">
        <v>134</v>
      </c>
      <c r="D463" s="2">
        <v>0.86232559000928999</v>
      </c>
    </row>
    <row r="464" spans="2:4" x14ac:dyDescent="0.2">
      <c r="B464" s="2" t="s">
        <v>112</v>
      </c>
      <c r="C464" s="2" t="s">
        <v>135</v>
      </c>
      <c r="D464" s="2">
        <v>0.94977257736193599</v>
      </c>
    </row>
    <row r="465" spans="2:4" x14ac:dyDescent="0.2">
      <c r="B465" s="2" t="s">
        <v>112</v>
      </c>
      <c r="C465" s="2" t="s">
        <v>136</v>
      </c>
      <c r="D465" s="2">
        <v>-0.72918274891365498</v>
      </c>
    </row>
    <row r="466" spans="2:4" x14ac:dyDescent="0.2">
      <c r="B466" s="2" t="s">
        <v>112</v>
      </c>
      <c r="C466" s="2" t="s">
        <v>137</v>
      </c>
      <c r="D466" s="2">
        <v>0.75188152831704502</v>
      </c>
    </row>
    <row r="467" spans="2:4" x14ac:dyDescent="0.2">
      <c r="B467" s="2" t="s">
        <v>112</v>
      </c>
      <c r="C467" s="2" t="s">
        <v>155</v>
      </c>
      <c r="D467" s="2">
        <v>-0.65687211402107504</v>
      </c>
    </row>
    <row r="468" spans="2:4" x14ac:dyDescent="0.2">
      <c r="B468" s="2" t="s">
        <v>112</v>
      </c>
      <c r="C468" s="2" t="s">
        <v>138</v>
      </c>
      <c r="D468" s="2">
        <v>0.93180511629560603</v>
      </c>
    </row>
    <row r="469" spans="2:4" x14ac:dyDescent="0.2">
      <c r="B469" s="2" t="s">
        <v>112</v>
      </c>
      <c r="C469" s="2" t="s">
        <v>139</v>
      </c>
      <c r="D469" s="2">
        <v>0.95792948323096405</v>
      </c>
    </row>
    <row r="470" spans="2:4" x14ac:dyDescent="0.2">
      <c r="B470" s="2" t="s">
        <v>112</v>
      </c>
      <c r="C470" s="2" t="s">
        <v>140</v>
      </c>
      <c r="D470" s="2">
        <v>0.872160759778979</v>
      </c>
    </row>
    <row r="471" spans="2:4" x14ac:dyDescent="0.2">
      <c r="B471" s="2" t="s">
        <v>112</v>
      </c>
      <c r="C471" s="2" t="s">
        <v>141</v>
      </c>
      <c r="D471" s="2">
        <v>0.93452328413946995</v>
      </c>
    </row>
    <row r="472" spans="2:4" x14ac:dyDescent="0.2">
      <c r="B472" s="2" t="s">
        <v>112</v>
      </c>
      <c r="C472" s="2" t="s">
        <v>142</v>
      </c>
      <c r="D472" s="2">
        <v>-0.73637760740708003</v>
      </c>
    </row>
    <row r="473" spans="2:4" x14ac:dyDescent="0.2">
      <c r="B473" s="2" t="s">
        <v>112</v>
      </c>
      <c r="C473" s="2" t="s">
        <v>143</v>
      </c>
      <c r="D473" s="2">
        <v>0.84475403551922901</v>
      </c>
    </row>
    <row r="474" spans="2:4" x14ac:dyDescent="0.2">
      <c r="B474" s="2" t="s">
        <v>112</v>
      </c>
      <c r="C474" s="2" t="s">
        <v>159</v>
      </c>
      <c r="D474" s="2">
        <v>-0.64113845952989601</v>
      </c>
    </row>
    <row r="475" spans="2:4" x14ac:dyDescent="0.2">
      <c r="B475" s="2" t="s">
        <v>113</v>
      </c>
      <c r="C475" s="2" t="s">
        <v>114</v>
      </c>
      <c r="D475" s="2">
        <v>-0.84751748883404099</v>
      </c>
    </row>
    <row r="476" spans="2:4" x14ac:dyDescent="0.2">
      <c r="B476" s="2" t="s">
        <v>113</v>
      </c>
      <c r="C476" s="2" t="s">
        <v>115</v>
      </c>
      <c r="D476" s="2">
        <v>-0.77034498132418805</v>
      </c>
    </row>
    <row r="477" spans="2:4" x14ac:dyDescent="0.2">
      <c r="B477" s="2" t="s">
        <v>113</v>
      </c>
      <c r="C477" s="2" t="s">
        <v>116</v>
      </c>
      <c r="D477" s="2">
        <v>-0.82671721983648805</v>
      </c>
    </row>
    <row r="478" spans="2:4" x14ac:dyDescent="0.2">
      <c r="B478" s="2" t="s">
        <v>113</v>
      </c>
      <c r="C478" s="2" t="s">
        <v>118</v>
      </c>
      <c r="D478" s="2">
        <v>-0.885666749330553</v>
      </c>
    </row>
    <row r="479" spans="2:4" x14ac:dyDescent="0.2">
      <c r="B479" s="2" t="s">
        <v>113</v>
      </c>
      <c r="C479" s="2" t="s">
        <v>120</v>
      </c>
      <c r="D479" s="2">
        <v>-0.80636252306203904</v>
      </c>
    </row>
    <row r="480" spans="2:4" x14ac:dyDescent="0.2">
      <c r="B480" s="2" t="s">
        <v>113</v>
      </c>
      <c r="C480" s="2" t="s">
        <v>121</v>
      </c>
      <c r="D480" s="2">
        <v>-0.85216350491993198</v>
      </c>
    </row>
    <row r="481" spans="2:4" x14ac:dyDescent="0.2">
      <c r="B481" s="2" t="s">
        <v>113</v>
      </c>
      <c r="C481" s="2" t="s">
        <v>123</v>
      </c>
      <c r="D481" s="2">
        <v>-0.82671721983648805</v>
      </c>
    </row>
    <row r="482" spans="2:4" x14ac:dyDescent="0.2">
      <c r="B482" s="2" t="s">
        <v>113</v>
      </c>
      <c r="C482" s="2" t="s">
        <v>124</v>
      </c>
      <c r="D482" s="2">
        <v>-0.85423610152737195</v>
      </c>
    </row>
    <row r="483" spans="2:4" x14ac:dyDescent="0.2">
      <c r="B483" s="2" t="s">
        <v>113</v>
      </c>
      <c r="C483" s="2" t="s">
        <v>126</v>
      </c>
      <c r="D483" s="2">
        <v>0.94873875906276095</v>
      </c>
    </row>
    <row r="484" spans="2:4" x14ac:dyDescent="0.2">
      <c r="B484" s="2" t="s">
        <v>113</v>
      </c>
      <c r="C484" s="2" t="s">
        <v>127</v>
      </c>
      <c r="D484" s="2">
        <v>-0.91034819897699304</v>
      </c>
    </row>
    <row r="485" spans="2:4" x14ac:dyDescent="0.2">
      <c r="B485" s="2" t="s">
        <v>113</v>
      </c>
      <c r="C485" s="2" t="s">
        <v>128</v>
      </c>
      <c r="D485" s="2">
        <v>-0.85826927456589497</v>
      </c>
    </row>
    <row r="486" spans="2:4" x14ac:dyDescent="0.2">
      <c r="B486" s="2" t="s">
        <v>113</v>
      </c>
      <c r="C486" s="2" t="s">
        <v>129</v>
      </c>
      <c r="D486" s="2">
        <v>-0.66701450807493001</v>
      </c>
    </row>
    <row r="487" spans="2:4" x14ac:dyDescent="0.2">
      <c r="B487" s="2" t="s">
        <v>113</v>
      </c>
      <c r="C487" s="2" t="s">
        <v>131</v>
      </c>
      <c r="D487" s="2">
        <v>-0.85791582355398099</v>
      </c>
    </row>
    <row r="488" spans="2:4" x14ac:dyDescent="0.2">
      <c r="B488" s="2" t="s">
        <v>113</v>
      </c>
      <c r="C488" s="2" t="s">
        <v>132</v>
      </c>
      <c r="D488" s="2">
        <v>-0.76480656961454097</v>
      </c>
    </row>
    <row r="489" spans="2:4" x14ac:dyDescent="0.2">
      <c r="B489" s="2" t="s">
        <v>113</v>
      </c>
      <c r="C489" s="2" t="s">
        <v>133</v>
      </c>
      <c r="D489" s="2">
        <v>-0.86343739048337198</v>
      </c>
    </row>
    <row r="490" spans="2:4" x14ac:dyDescent="0.2">
      <c r="B490" s="2" t="s">
        <v>113</v>
      </c>
      <c r="C490" s="2" t="s">
        <v>135</v>
      </c>
      <c r="D490" s="2">
        <v>-0.78212664855278102</v>
      </c>
    </row>
    <row r="491" spans="2:4" x14ac:dyDescent="0.2">
      <c r="B491" s="2" t="s">
        <v>113</v>
      </c>
      <c r="C491" s="2" t="s">
        <v>137</v>
      </c>
      <c r="D491" s="2">
        <v>-0.81379960260273598</v>
      </c>
    </row>
    <row r="492" spans="2:4" x14ac:dyDescent="0.2">
      <c r="B492" s="2" t="s">
        <v>113</v>
      </c>
      <c r="C492" s="2" t="s">
        <v>138</v>
      </c>
      <c r="D492" s="2">
        <v>-0.89050530872220401</v>
      </c>
    </row>
    <row r="493" spans="2:4" x14ac:dyDescent="0.2">
      <c r="B493" s="2" t="s">
        <v>113</v>
      </c>
      <c r="C493" s="2" t="s">
        <v>139</v>
      </c>
      <c r="D493" s="2">
        <v>-0.857685122450625</v>
      </c>
    </row>
    <row r="494" spans="2:4" x14ac:dyDescent="0.2">
      <c r="B494" s="2" t="s">
        <v>113</v>
      </c>
      <c r="C494" s="2" t="s">
        <v>140</v>
      </c>
      <c r="D494" s="2">
        <v>-0.73577228420320595</v>
      </c>
    </row>
    <row r="495" spans="2:4" x14ac:dyDescent="0.2">
      <c r="B495" s="2" t="s">
        <v>113</v>
      </c>
      <c r="C495" s="2" t="s">
        <v>141</v>
      </c>
      <c r="D495" s="2">
        <v>-0.86532968894389295</v>
      </c>
    </row>
    <row r="496" spans="2:4" x14ac:dyDescent="0.2">
      <c r="B496" s="2" t="s">
        <v>113</v>
      </c>
      <c r="C496" s="2" t="s">
        <v>143</v>
      </c>
      <c r="D496" s="2">
        <v>-0.66235220333800604</v>
      </c>
    </row>
    <row r="497" spans="2:4" x14ac:dyDescent="0.2">
      <c r="B497" s="2" t="s">
        <v>113</v>
      </c>
      <c r="C497" s="2" t="s">
        <v>159</v>
      </c>
      <c r="D497" s="2">
        <v>0.66229773405959602</v>
      </c>
    </row>
    <row r="498" spans="2:4" x14ac:dyDescent="0.2">
      <c r="B498" s="2" t="s">
        <v>148</v>
      </c>
      <c r="C498" s="2" t="s">
        <v>149</v>
      </c>
      <c r="D498" s="2">
        <v>0.91326481930984804</v>
      </c>
    </row>
    <row r="499" spans="2:4" x14ac:dyDescent="0.2">
      <c r="B499" s="2" t="s">
        <v>148</v>
      </c>
      <c r="C499" s="2" t="s">
        <v>150</v>
      </c>
      <c r="D499" s="2">
        <v>0.98670712717909703</v>
      </c>
    </row>
    <row r="500" spans="2:4" x14ac:dyDescent="0.2">
      <c r="B500" s="2" t="s">
        <v>148</v>
      </c>
      <c r="C500" s="2" t="s">
        <v>157</v>
      </c>
      <c r="D500" s="2">
        <v>0.63603615477202802</v>
      </c>
    </row>
    <row r="501" spans="2:4" x14ac:dyDescent="0.2">
      <c r="B501" s="2" t="s">
        <v>148</v>
      </c>
      <c r="C501" s="2" t="s">
        <v>128</v>
      </c>
      <c r="D501" s="2">
        <v>-0.64214633082276795</v>
      </c>
    </row>
    <row r="502" spans="2:4" x14ac:dyDescent="0.2">
      <c r="B502" s="2" t="s">
        <v>148</v>
      </c>
      <c r="C502" s="2" t="s">
        <v>151</v>
      </c>
      <c r="D502" s="2">
        <v>0.85128477618124898</v>
      </c>
    </row>
    <row r="503" spans="2:4" x14ac:dyDescent="0.2">
      <c r="B503" s="2" t="s">
        <v>148</v>
      </c>
      <c r="C503" s="2" t="s">
        <v>152</v>
      </c>
      <c r="D503" s="2">
        <v>-0.90314709037705798</v>
      </c>
    </row>
    <row r="504" spans="2:4" x14ac:dyDescent="0.2">
      <c r="B504" s="2" t="s">
        <v>148</v>
      </c>
      <c r="C504" s="2" t="s">
        <v>136</v>
      </c>
      <c r="D504" s="2">
        <v>0.60707073368096298</v>
      </c>
    </row>
    <row r="505" spans="2:4" x14ac:dyDescent="0.2">
      <c r="B505" s="2" t="s">
        <v>148</v>
      </c>
      <c r="C505" s="2" t="s">
        <v>142</v>
      </c>
      <c r="D505" s="2">
        <v>0.61201378191540501</v>
      </c>
    </row>
    <row r="506" spans="2:4" x14ac:dyDescent="0.2">
      <c r="B506" s="2" t="s">
        <v>149</v>
      </c>
      <c r="C506" s="2" t="s">
        <v>150</v>
      </c>
      <c r="D506" s="2">
        <v>0.88380513852232401</v>
      </c>
    </row>
    <row r="507" spans="2:4" x14ac:dyDescent="0.2">
      <c r="B507" s="2" t="s">
        <v>149</v>
      </c>
      <c r="C507" s="2" t="s">
        <v>120</v>
      </c>
      <c r="D507" s="2">
        <v>-0.61401077242673296</v>
      </c>
    </row>
    <row r="508" spans="2:4" x14ac:dyDescent="0.2">
      <c r="B508" s="2" t="s">
        <v>149</v>
      </c>
      <c r="C508" s="2" t="s">
        <v>157</v>
      </c>
      <c r="D508" s="2">
        <v>0.65825337060512101</v>
      </c>
    </row>
    <row r="509" spans="2:4" x14ac:dyDescent="0.2">
      <c r="B509" s="2" t="s">
        <v>149</v>
      </c>
      <c r="C509" s="2" t="s">
        <v>127</v>
      </c>
      <c r="D509" s="2">
        <v>-0.60058587868788604</v>
      </c>
    </row>
    <row r="510" spans="2:4" x14ac:dyDescent="0.2">
      <c r="B510" s="2" t="s">
        <v>149</v>
      </c>
      <c r="C510" s="2" t="s">
        <v>128</v>
      </c>
      <c r="D510" s="2">
        <v>-0.64397988595645395</v>
      </c>
    </row>
    <row r="511" spans="2:4" x14ac:dyDescent="0.2">
      <c r="B511" s="2" t="s">
        <v>149</v>
      </c>
      <c r="C511" s="2" t="s">
        <v>151</v>
      </c>
      <c r="D511" s="2">
        <v>0.95272718104363296</v>
      </c>
    </row>
    <row r="512" spans="2:4" x14ac:dyDescent="0.2">
      <c r="B512" s="2" t="s">
        <v>149</v>
      </c>
      <c r="C512" s="2" t="s">
        <v>152</v>
      </c>
      <c r="D512" s="2">
        <v>-0.76329004904894204</v>
      </c>
    </row>
    <row r="513" spans="2:4" x14ac:dyDescent="0.2">
      <c r="B513" s="2" t="s">
        <v>149</v>
      </c>
      <c r="C513" s="2" t="s">
        <v>146</v>
      </c>
      <c r="D513" s="2">
        <v>-0.71915963478828504</v>
      </c>
    </row>
    <row r="514" spans="2:4" x14ac:dyDescent="0.2">
      <c r="B514" s="2" t="s">
        <v>114</v>
      </c>
      <c r="C514" s="2" t="s">
        <v>115</v>
      </c>
      <c r="D514" s="2">
        <v>0.872967349012715</v>
      </c>
    </row>
    <row r="515" spans="2:4" x14ac:dyDescent="0.2">
      <c r="B515" s="2" t="s">
        <v>114</v>
      </c>
      <c r="C515" s="2" t="s">
        <v>116</v>
      </c>
      <c r="D515" s="2">
        <v>0.98960905823750001</v>
      </c>
    </row>
    <row r="516" spans="2:4" x14ac:dyDescent="0.2">
      <c r="B516" s="2" t="s">
        <v>114</v>
      </c>
      <c r="C516" s="2" t="s">
        <v>117</v>
      </c>
      <c r="D516" s="2">
        <v>-0.70194086799482802</v>
      </c>
    </row>
    <row r="517" spans="2:4" x14ac:dyDescent="0.2">
      <c r="B517" s="2" t="s">
        <v>114</v>
      </c>
      <c r="C517" s="2" t="s">
        <v>118</v>
      </c>
      <c r="D517" s="2">
        <v>0.72151393784231299</v>
      </c>
    </row>
    <row r="518" spans="2:4" x14ac:dyDescent="0.2">
      <c r="B518" s="2" t="s">
        <v>114</v>
      </c>
      <c r="C518" s="2" t="s">
        <v>119</v>
      </c>
      <c r="D518" s="2">
        <v>0.84179784562318505</v>
      </c>
    </row>
    <row r="519" spans="2:4" x14ac:dyDescent="0.2">
      <c r="B519" s="2" t="s">
        <v>114</v>
      </c>
      <c r="C519" s="2" t="s">
        <v>120</v>
      </c>
      <c r="D519" s="2">
        <v>0.80106838577557105</v>
      </c>
    </row>
    <row r="520" spans="2:4" x14ac:dyDescent="0.2">
      <c r="B520" s="2" t="s">
        <v>114</v>
      </c>
      <c r="C520" s="2" t="s">
        <v>121</v>
      </c>
      <c r="D520" s="2">
        <v>0.976240955891576</v>
      </c>
    </row>
    <row r="521" spans="2:4" x14ac:dyDescent="0.2">
      <c r="B521" s="2" t="s">
        <v>114</v>
      </c>
      <c r="C521" s="2" t="s">
        <v>122</v>
      </c>
      <c r="D521" s="2">
        <v>0.86774062792718698</v>
      </c>
    </row>
    <row r="522" spans="2:4" x14ac:dyDescent="0.2">
      <c r="B522" s="2" t="s">
        <v>114</v>
      </c>
      <c r="C522" s="2" t="s">
        <v>123</v>
      </c>
      <c r="D522" s="2">
        <v>0.98960905823750001</v>
      </c>
    </row>
    <row r="523" spans="2:4" x14ac:dyDescent="0.2">
      <c r="B523" s="2" t="s">
        <v>114</v>
      </c>
      <c r="C523" s="2" t="s">
        <v>124</v>
      </c>
      <c r="D523" s="2">
        <v>0.97343222672028396</v>
      </c>
    </row>
    <row r="524" spans="2:4" x14ac:dyDescent="0.2">
      <c r="B524" s="2" t="s">
        <v>114</v>
      </c>
      <c r="C524" s="2" t="s">
        <v>125</v>
      </c>
      <c r="D524" s="2">
        <v>0.827416790325184</v>
      </c>
    </row>
    <row r="525" spans="2:4" x14ac:dyDescent="0.2">
      <c r="B525" s="2" t="s">
        <v>114</v>
      </c>
      <c r="C525" s="2" t="s">
        <v>126</v>
      </c>
      <c r="D525" s="2">
        <v>-0.75144092338575896</v>
      </c>
    </row>
    <row r="526" spans="2:4" x14ac:dyDescent="0.2">
      <c r="B526" s="2" t="s">
        <v>114</v>
      </c>
      <c r="C526" s="2" t="s">
        <v>127</v>
      </c>
      <c r="D526" s="2">
        <v>0.92384708462878495</v>
      </c>
    </row>
    <row r="527" spans="2:4" x14ac:dyDescent="0.2">
      <c r="B527" s="2" t="s">
        <v>114</v>
      </c>
      <c r="C527" s="2" t="s">
        <v>128</v>
      </c>
      <c r="D527" s="2">
        <v>0.89300767539773696</v>
      </c>
    </row>
    <row r="528" spans="2:4" x14ac:dyDescent="0.2">
      <c r="B528" s="2" t="s">
        <v>114</v>
      </c>
      <c r="C528" s="2" t="s">
        <v>129</v>
      </c>
      <c r="D528" s="2">
        <v>0.93125356539063298</v>
      </c>
    </row>
    <row r="529" spans="2:4" x14ac:dyDescent="0.2">
      <c r="B529" s="2" t="s">
        <v>114</v>
      </c>
      <c r="C529" s="2" t="s">
        <v>130</v>
      </c>
      <c r="D529" s="2">
        <v>0.77734988665505</v>
      </c>
    </row>
    <row r="530" spans="2:4" x14ac:dyDescent="0.2">
      <c r="B530" s="2" t="s">
        <v>114</v>
      </c>
      <c r="C530" s="2" t="s">
        <v>131</v>
      </c>
      <c r="D530" s="2">
        <v>0.97283618789175497</v>
      </c>
    </row>
    <row r="531" spans="2:4" x14ac:dyDescent="0.2">
      <c r="B531" s="2" t="s">
        <v>114</v>
      </c>
      <c r="C531" s="2" t="s">
        <v>132</v>
      </c>
      <c r="D531" s="2">
        <v>0.96886112274915703</v>
      </c>
    </row>
    <row r="532" spans="2:4" x14ac:dyDescent="0.2">
      <c r="B532" s="2" t="s">
        <v>114</v>
      </c>
      <c r="C532" s="2" t="s">
        <v>133</v>
      </c>
      <c r="D532" s="2">
        <v>0.95491431975907903</v>
      </c>
    </row>
    <row r="533" spans="2:4" x14ac:dyDescent="0.2">
      <c r="B533" s="2" t="s">
        <v>114</v>
      </c>
      <c r="C533" s="2" t="s">
        <v>134</v>
      </c>
      <c r="D533" s="2">
        <v>0.81651196052637898</v>
      </c>
    </row>
    <row r="534" spans="2:4" x14ac:dyDescent="0.2">
      <c r="B534" s="2" t="s">
        <v>114</v>
      </c>
      <c r="C534" s="2" t="s">
        <v>135</v>
      </c>
      <c r="D534" s="2">
        <v>0.934020841101453</v>
      </c>
    </row>
    <row r="535" spans="2:4" x14ac:dyDescent="0.2">
      <c r="B535" s="2" t="s">
        <v>114</v>
      </c>
      <c r="C535" s="2" t="s">
        <v>136</v>
      </c>
      <c r="D535" s="2">
        <v>-0.76245310413455702</v>
      </c>
    </row>
    <row r="536" spans="2:4" x14ac:dyDescent="0.2">
      <c r="B536" s="2" t="s">
        <v>114</v>
      </c>
      <c r="C536" s="2" t="s">
        <v>137</v>
      </c>
      <c r="D536" s="2">
        <v>0.84417524449709802</v>
      </c>
    </row>
    <row r="537" spans="2:4" x14ac:dyDescent="0.2">
      <c r="B537" s="2" t="s">
        <v>114</v>
      </c>
      <c r="C537" s="2" t="s">
        <v>138</v>
      </c>
      <c r="D537" s="2">
        <v>0.96341568765526597</v>
      </c>
    </row>
    <row r="538" spans="2:4" x14ac:dyDescent="0.2">
      <c r="B538" s="2" t="s">
        <v>114</v>
      </c>
      <c r="C538" s="2" t="s">
        <v>139</v>
      </c>
      <c r="D538" s="2">
        <v>0.99177514786749699</v>
      </c>
    </row>
    <row r="539" spans="2:4" x14ac:dyDescent="0.2">
      <c r="B539" s="2" t="s">
        <v>114</v>
      </c>
      <c r="C539" s="2" t="s">
        <v>140</v>
      </c>
      <c r="D539" s="2">
        <v>0.94817795039799802</v>
      </c>
    </row>
    <row r="540" spans="2:4" x14ac:dyDescent="0.2">
      <c r="B540" s="2" t="s">
        <v>114</v>
      </c>
      <c r="C540" s="2" t="s">
        <v>141</v>
      </c>
      <c r="D540" s="2">
        <v>0.96225341071572101</v>
      </c>
    </row>
    <row r="541" spans="2:4" x14ac:dyDescent="0.2">
      <c r="B541" s="2" t="s">
        <v>114</v>
      </c>
      <c r="C541" s="2" t="s">
        <v>142</v>
      </c>
      <c r="D541" s="2">
        <v>-0.76408172417737097</v>
      </c>
    </row>
    <row r="542" spans="2:4" x14ac:dyDescent="0.2">
      <c r="B542" s="2" t="s">
        <v>114</v>
      </c>
      <c r="C542" s="2" t="s">
        <v>143</v>
      </c>
      <c r="D542" s="2">
        <v>0.92666555087951796</v>
      </c>
    </row>
    <row r="543" spans="2:4" x14ac:dyDescent="0.2">
      <c r="B543" s="2" t="s">
        <v>115</v>
      </c>
      <c r="C543" s="2" t="s">
        <v>116</v>
      </c>
      <c r="D543" s="2">
        <v>0.82953326813205097</v>
      </c>
    </row>
    <row r="544" spans="2:4" x14ac:dyDescent="0.2">
      <c r="B544" s="2" t="s">
        <v>115</v>
      </c>
      <c r="C544" s="2" t="s">
        <v>118</v>
      </c>
      <c r="D544" s="2">
        <v>0.62259342857593203</v>
      </c>
    </row>
    <row r="545" spans="2:4" x14ac:dyDescent="0.2">
      <c r="B545" s="2" t="s">
        <v>115</v>
      </c>
      <c r="C545" s="2" t="s">
        <v>119</v>
      </c>
      <c r="D545" s="2">
        <v>0.77488955542367699</v>
      </c>
    </row>
    <row r="546" spans="2:4" x14ac:dyDescent="0.2">
      <c r="B546" s="2" t="s">
        <v>115</v>
      </c>
      <c r="C546" s="2" t="s">
        <v>121</v>
      </c>
      <c r="D546" s="2">
        <v>0.86451342220582295</v>
      </c>
    </row>
    <row r="547" spans="2:4" x14ac:dyDescent="0.2">
      <c r="B547" s="2" t="s">
        <v>115</v>
      </c>
      <c r="C547" s="2" t="s">
        <v>122</v>
      </c>
      <c r="D547" s="2">
        <v>0.71714278009246302</v>
      </c>
    </row>
    <row r="548" spans="2:4" x14ac:dyDescent="0.2">
      <c r="B548" s="2" t="s">
        <v>115</v>
      </c>
      <c r="C548" s="2" t="s">
        <v>123</v>
      </c>
      <c r="D548" s="2">
        <v>0.82953326813205097</v>
      </c>
    </row>
    <row r="549" spans="2:4" x14ac:dyDescent="0.2">
      <c r="B549" s="2" t="s">
        <v>115</v>
      </c>
      <c r="C549" s="2" t="s">
        <v>124</v>
      </c>
      <c r="D549" s="2">
        <v>0.77894342482899903</v>
      </c>
    </row>
    <row r="550" spans="2:4" x14ac:dyDescent="0.2">
      <c r="B550" s="2" t="s">
        <v>115</v>
      </c>
      <c r="C550" s="2" t="s">
        <v>125</v>
      </c>
      <c r="D550" s="2">
        <v>0.71889747502835299</v>
      </c>
    </row>
    <row r="551" spans="2:4" x14ac:dyDescent="0.2">
      <c r="B551" s="2" t="s">
        <v>115</v>
      </c>
      <c r="C551" s="2" t="s">
        <v>127</v>
      </c>
      <c r="D551" s="2">
        <v>0.73953941155594305</v>
      </c>
    </row>
    <row r="552" spans="2:4" x14ac:dyDescent="0.2">
      <c r="B552" s="2" t="s">
        <v>115</v>
      </c>
      <c r="C552" s="2" t="s">
        <v>128</v>
      </c>
      <c r="D552" s="2">
        <v>0.68909861864555799</v>
      </c>
    </row>
    <row r="553" spans="2:4" x14ac:dyDescent="0.2">
      <c r="B553" s="2" t="s">
        <v>115</v>
      </c>
      <c r="C553" s="2" t="s">
        <v>129</v>
      </c>
      <c r="D553" s="2">
        <v>0.72620113062295399</v>
      </c>
    </row>
    <row r="554" spans="2:4" x14ac:dyDescent="0.2">
      <c r="B554" s="2" t="s">
        <v>115</v>
      </c>
      <c r="C554" s="2" t="s">
        <v>130</v>
      </c>
      <c r="D554" s="2">
        <v>0.72229084309957803</v>
      </c>
    </row>
    <row r="555" spans="2:4" x14ac:dyDescent="0.2">
      <c r="B555" s="2" t="s">
        <v>115</v>
      </c>
      <c r="C555" s="2" t="s">
        <v>131</v>
      </c>
      <c r="D555" s="2">
        <v>0.78567566241350195</v>
      </c>
    </row>
    <row r="556" spans="2:4" x14ac:dyDescent="0.2">
      <c r="B556" s="2" t="s">
        <v>115</v>
      </c>
      <c r="C556" s="2" t="s">
        <v>132</v>
      </c>
      <c r="D556" s="2">
        <v>0.73677452184883496</v>
      </c>
    </row>
    <row r="557" spans="2:4" x14ac:dyDescent="0.2">
      <c r="B557" s="2" t="s">
        <v>115</v>
      </c>
      <c r="C557" s="2" t="s">
        <v>133</v>
      </c>
      <c r="D557" s="2">
        <v>0.82864231433282698</v>
      </c>
    </row>
    <row r="558" spans="2:4" x14ac:dyDescent="0.2">
      <c r="B558" s="2" t="s">
        <v>115</v>
      </c>
      <c r="C558" s="2" t="s">
        <v>134</v>
      </c>
      <c r="D558" s="2">
        <v>0.68018722130420395</v>
      </c>
    </row>
    <row r="559" spans="2:4" x14ac:dyDescent="0.2">
      <c r="B559" s="2" t="s">
        <v>115</v>
      </c>
      <c r="C559" s="2" t="s">
        <v>135</v>
      </c>
      <c r="D559" s="2">
        <v>0.76411578682926196</v>
      </c>
    </row>
    <row r="560" spans="2:4" x14ac:dyDescent="0.2">
      <c r="B560" s="2" t="s">
        <v>115</v>
      </c>
      <c r="C560" s="2" t="s">
        <v>137</v>
      </c>
      <c r="D560" s="2">
        <v>0.74870999831460505</v>
      </c>
    </row>
    <row r="561" spans="2:4" x14ac:dyDescent="0.2">
      <c r="B561" s="2" t="s">
        <v>115</v>
      </c>
      <c r="C561" s="2" t="s">
        <v>155</v>
      </c>
      <c r="D561" s="2">
        <v>-0.73501731397796499</v>
      </c>
    </row>
    <row r="562" spans="2:4" x14ac:dyDescent="0.2">
      <c r="B562" s="2" t="s">
        <v>115</v>
      </c>
      <c r="C562" s="2" t="s">
        <v>138</v>
      </c>
      <c r="D562" s="2">
        <v>0.75403148859848901</v>
      </c>
    </row>
    <row r="563" spans="2:4" x14ac:dyDescent="0.2">
      <c r="B563" s="2" t="s">
        <v>115</v>
      </c>
      <c r="C563" s="2" t="s">
        <v>139</v>
      </c>
      <c r="D563" s="2">
        <v>0.81996521380171705</v>
      </c>
    </row>
    <row r="564" spans="2:4" x14ac:dyDescent="0.2">
      <c r="B564" s="2" t="s">
        <v>115</v>
      </c>
      <c r="C564" s="2" t="s">
        <v>140</v>
      </c>
      <c r="D564" s="2">
        <v>0.80829612223532799</v>
      </c>
    </row>
    <row r="565" spans="2:4" x14ac:dyDescent="0.2">
      <c r="B565" s="2" t="s">
        <v>115</v>
      </c>
      <c r="C565" s="2" t="s">
        <v>141</v>
      </c>
      <c r="D565" s="2">
        <v>0.74843056605738401</v>
      </c>
    </row>
    <row r="566" spans="2:4" x14ac:dyDescent="0.2">
      <c r="B566" s="2" t="s">
        <v>115</v>
      </c>
      <c r="C566" s="2" t="s">
        <v>143</v>
      </c>
      <c r="D566" s="2">
        <v>0.71454008745356801</v>
      </c>
    </row>
    <row r="567" spans="2:4" x14ac:dyDescent="0.2">
      <c r="B567" s="2" t="s">
        <v>115</v>
      </c>
      <c r="C567" s="2" t="s">
        <v>159</v>
      </c>
      <c r="D567" s="2">
        <v>-0.76163098096340298</v>
      </c>
    </row>
    <row r="568" spans="2:4" x14ac:dyDescent="0.2">
      <c r="B568" s="2" t="s">
        <v>116</v>
      </c>
      <c r="C568" s="2" t="s">
        <v>117</v>
      </c>
      <c r="D568" s="2">
        <v>-0.76415369514605003</v>
      </c>
    </row>
    <row r="569" spans="2:4" x14ac:dyDescent="0.2">
      <c r="B569" s="2" t="s">
        <v>116</v>
      </c>
      <c r="C569" s="2" t="s">
        <v>118</v>
      </c>
      <c r="D569" s="2">
        <v>0.75410097766941397</v>
      </c>
    </row>
    <row r="570" spans="2:4" x14ac:dyDescent="0.2">
      <c r="B570" s="2" t="s">
        <v>116</v>
      </c>
      <c r="C570" s="2" t="s">
        <v>119</v>
      </c>
      <c r="D570" s="2">
        <v>0.86801020751348001</v>
      </c>
    </row>
    <row r="571" spans="2:4" x14ac:dyDescent="0.2">
      <c r="B571" s="2" t="s">
        <v>116</v>
      </c>
      <c r="C571" s="2" t="s">
        <v>120</v>
      </c>
      <c r="D571" s="2">
        <v>0.84012215802868495</v>
      </c>
    </row>
    <row r="572" spans="2:4" x14ac:dyDescent="0.2">
      <c r="B572" s="2" t="s">
        <v>116</v>
      </c>
      <c r="C572" s="2" t="s">
        <v>121</v>
      </c>
      <c r="D572" s="2">
        <v>0.98766656914471496</v>
      </c>
    </row>
    <row r="573" spans="2:4" x14ac:dyDescent="0.2">
      <c r="B573" s="2" t="s">
        <v>116</v>
      </c>
      <c r="C573" s="2" t="s">
        <v>122</v>
      </c>
      <c r="D573" s="2">
        <v>0.88290875927551105</v>
      </c>
    </row>
    <row r="574" spans="2:4" x14ac:dyDescent="0.2">
      <c r="B574" s="2" t="s">
        <v>116</v>
      </c>
      <c r="C574" s="2" t="s">
        <v>123</v>
      </c>
      <c r="D574" s="2">
        <v>1</v>
      </c>
    </row>
    <row r="575" spans="2:4" x14ac:dyDescent="0.2">
      <c r="B575" s="2" t="s">
        <v>116</v>
      </c>
      <c r="C575" s="2" t="s">
        <v>124</v>
      </c>
      <c r="D575" s="2">
        <v>0.98350350898164696</v>
      </c>
    </row>
    <row r="576" spans="2:4" x14ac:dyDescent="0.2">
      <c r="B576" s="2" t="s">
        <v>116</v>
      </c>
      <c r="C576" s="2" t="s">
        <v>125</v>
      </c>
      <c r="D576" s="2">
        <v>0.87702858880948398</v>
      </c>
    </row>
    <row r="577" spans="2:4" x14ac:dyDescent="0.2">
      <c r="B577" s="2" t="s">
        <v>116</v>
      </c>
      <c r="C577" s="2" t="s">
        <v>126</v>
      </c>
      <c r="D577" s="2">
        <v>-0.74304667799286495</v>
      </c>
    </row>
    <row r="578" spans="2:4" x14ac:dyDescent="0.2">
      <c r="B578" s="2" t="s">
        <v>116</v>
      </c>
      <c r="C578" s="2" t="s">
        <v>127</v>
      </c>
      <c r="D578" s="2">
        <v>0.92196046985977198</v>
      </c>
    </row>
    <row r="579" spans="2:4" x14ac:dyDescent="0.2">
      <c r="B579" s="2" t="s">
        <v>116</v>
      </c>
      <c r="C579" s="2" t="s">
        <v>128</v>
      </c>
      <c r="D579" s="2">
        <v>0.90414076045848302</v>
      </c>
    </row>
    <row r="580" spans="2:4" x14ac:dyDescent="0.2">
      <c r="B580" s="2" t="s">
        <v>116</v>
      </c>
      <c r="C580" s="2" t="s">
        <v>129</v>
      </c>
      <c r="D580" s="2">
        <v>0.94900124769949201</v>
      </c>
    </row>
    <row r="581" spans="2:4" x14ac:dyDescent="0.2">
      <c r="B581" s="2" t="s">
        <v>116</v>
      </c>
      <c r="C581" s="2" t="s">
        <v>130</v>
      </c>
      <c r="D581" s="2">
        <v>0.81791114596112502</v>
      </c>
    </row>
    <row r="582" spans="2:4" x14ac:dyDescent="0.2">
      <c r="B582" s="2" t="s">
        <v>116</v>
      </c>
      <c r="C582" s="2" t="s">
        <v>131</v>
      </c>
      <c r="D582" s="2">
        <v>0.98632640166739505</v>
      </c>
    </row>
    <row r="583" spans="2:4" x14ac:dyDescent="0.2">
      <c r="B583" s="2" t="s">
        <v>116</v>
      </c>
      <c r="C583" s="2" t="s">
        <v>132</v>
      </c>
      <c r="D583" s="2">
        <v>0.96753405280343896</v>
      </c>
    </row>
    <row r="584" spans="2:4" x14ac:dyDescent="0.2">
      <c r="B584" s="2" t="s">
        <v>116</v>
      </c>
      <c r="C584" s="2" t="s">
        <v>133</v>
      </c>
      <c r="D584" s="2">
        <v>0.97218813159547901</v>
      </c>
    </row>
    <row r="585" spans="2:4" x14ac:dyDescent="0.2">
      <c r="B585" s="2" t="s">
        <v>116</v>
      </c>
      <c r="C585" s="2" t="s">
        <v>134</v>
      </c>
      <c r="D585" s="2">
        <v>0.85238899790483502</v>
      </c>
    </row>
    <row r="586" spans="2:4" x14ac:dyDescent="0.2">
      <c r="B586" s="2" t="s">
        <v>116</v>
      </c>
      <c r="C586" s="2" t="s">
        <v>135</v>
      </c>
      <c r="D586" s="2">
        <v>0.95570125815905305</v>
      </c>
    </row>
    <row r="587" spans="2:4" x14ac:dyDescent="0.2">
      <c r="B587" s="2" t="s">
        <v>116</v>
      </c>
      <c r="C587" s="2" t="s">
        <v>136</v>
      </c>
      <c r="D587" s="2">
        <v>-0.81751265881471602</v>
      </c>
    </row>
    <row r="588" spans="2:4" x14ac:dyDescent="0.2">
      <c r="B588" s="2" t="s">
        <v>116</v>
      </c>
      <c r="C588" s="2" t="s">
        <v>137</v>
      </c>
      <c r="D588" s="2">
        <v>0.79465254964652299</v>
      </c>
    </row>
    <row r="589" spans="2:4" x14ac:dyDescent="0.2">
      <c r="B589" s="2" t="s">
        <v>116</v>
      </c>
      <c r="C589" s="2" t="s">
        <v>138</v>
      </c>
      <c r="D589" s="2">
        <v>0.97403440630864302</v>
      </c>
    </row>
    <row r="590" spans="2:4" x14ac:dyDescent="0.2">
      <c r="B590" s="2" t="s">
        <v>116</v>
      </c>
      <c r="C590" s="2" t="s">
        <v>139</v>
      </c>
      <c r="D590" s="2">
        <v>0.99681922651750998</v>
      </c>
    </row>
    <row r="591" spans="2:4" x14ac:dyDescent="0.2">
      <c r="B591" s="2" t="s">
        <v>116</v>
      </c>
      <c r="C591" s="2" t="s">
        <v>140</v>
      </c>
      <c r="D591" s="2">
        <v>0.925122018941264</v>
      </c>
    </row>
    <row r="592" spans="2:4" x14ac:dyDescent="0.2">
      <c r="B592" s="2" t="s">
        <v>116</v>
      </c>
      <c r="C592" s="2" t="s">
        <v>141</v>
      </c>
      <c r="D592" s="2">
        <v>0.98083022543651199</v>
      </c>
    </row>
    <row r="593" spans="2:4" x14ac:dyDescent="0.2">
      <c r="B593" s="2" t="s">
        <v>116</v>
      </c>
      <c r="C593" s="2" t="s">
        <v>142</v>
      </c>
      <c r="D593" s="2">
        <v>-0.81654464256520898</v>
      </c>
    </row>
    <row r="594" spans="2:4" x14ac:dyDescent="0.2">
      <c r="B594" s="2" t="s">
        <v>116</v>
      </c>
      <c r="C594" s="2" t="s">
        <v>143</v>
      </c>
      <c r="D594" s="2">
        <v>0.92098877393370304</v>
      </c>
    </row>
    <row r="595" spans="2:4" x14ac:dyDescent="0.2">
      <c r="B595" s="2" t="s">
        <v>117</v>
      </c>
      <c r="C595" s="2" t="s">
        <v>119</v>
      </c>
      <c r="D595" s="2">
        <v>-0.71515827023913403</v>
      </c>
    </row>
    <row r="596" spans="2:4" x14ac:dyDescent="0.2">
      <c r="B596" s="2" t="s">
        <v>117</v>
      </c>
      <c r="C596" s="2" t="s">
        <v>150</v>
      </c>
      <c r="D596" s="2">
        <v>0.64944998010340904</v>
      </c>
    </row>
    <row r="597" spans="2:4" x14ac:dyDescent="0.2">
      <c r="B597" s="2" t="s">
        <v>117</v>
      </c>
      <c r="C597" s="2" t="s">
        <v>120</v>
      </c>
      <c r="D597" s="2">
        <v>-0.71444376716814295</v>
      </c>
    </row>
    <row r="598" spans="2:4" x14ac:dyDescent="0.2">
      <c r="B598" s="2" t="s">
        <v>117</v>
      </c>
      <c r="C598" s="2" t="s">
        <v>162</v>
      </c>
      <c r="D598" s="2">
        <v>-0.72484272411545503</v>
      </c>
    </row>
    <row r="599" spans="2:4" x14ac:dyDescent="0.2">
      <c r="B599" s="2" t="s">
        <v>117</v>
      </c>
      <c r="C599" s="2" t="s">
        <v>121</v>
      </c>
      <c r="D599" s="2">
        <v>-0.714681434144945</v>
      </c>
    </row>
    <row r="600" spans="2:4" x14ac:dyDescent="0.2">
      <c r="B600" s="2" t="s">
        <v>117</v>
      </c>
      <c r="C600" s="2" t="s">
        <v>122</v>
      </c>
      <c r="D600" s="2">
        <v>-0.79132396432074603</v>
      </c>
    </row>
    <row r="601" spans="2:4" x14ac:dyDescent="0.2">
      <c r="B601" s="2" t="s">
        <v>117</v>
      </c>
      <c r="C601" s="2" t="s">
        <v>123</v>
      </c>
      <c r="D601" s="2">
        <v>-0.76415369514604903</v>
      </c>
    </row>
    <row r="602" spans="2:4" x14ac:dyDescent="0.2">
      <c r="B602" s="2" t="s">
        <v>117</v>
      </c>
      <c r="C602" s="2" t="s">
        <v>124</v>
      </c>
      <c r="D602" s="2">
        <v>-0.76853750617034799</v>
      </c>
    </row>
    <row r="603" spans="2:4" x14ac:dyDescent="0.2">
      <c r="B603" s="2" t="s">
        <v>117</v>
      </c>
      <c r="C603" s="2" t="s">
        <v>125</v>
      </c>
      <c r="D603" s="2">
        <v>-0.83292930549025901</v>
      </c>
    </row>
    <row r="604" spans="2:4" x14ac:dyDescent="0.2">
      <c r="B604" s="2" t="s">
        <v>117</v>
      </c>
      <c r="C604" s="2" t="s">
        <v>127</v>
      </c>
      <c r="D604" s="2">
        <v>-0.65415601494199205</v>
      </c>
    </row>
    <row r="605" spans="2:4" x14ac:dyDescent="0.2">
      <c r="B605" s="2" t="s">
        <v>117</v>
      </c>
      <c r="C605" s="2" t="s">
        <v>128</v>
      </c>
      <c r="D605" s="2">
        <v>-0.70771183991164699</v>
      </c>
    </row>
    <row r="606" spans="2:4" x14ac:dyDescent="0.2">
      <c r="B606" s="2" t="s">
        <v>117</v>
      </c>
      <c r="C606" s="2" t="s">
        <v>129</v>
      </c>
      <c r="D606" s="2">
        <v>-0.81249357142962297</v>
      </c>
    </row>
    <row r="607" spans="2:4" x14ac:dyDescent="0.2">
      <c r="B607" s="2" t="s">
        <v>117</v>
      </c>
      <c r="C607" s="2" t="s">
        <v>130</v>
      </c>
      <c r="D607" s="2">
        <v>-0.76735466960990695</v>
      </c>
    </row>
    <row r="608" spans="2:4" x14ac:dyDescent="0.2">
      <c r="B608" s="2" t="s">
        <v>117</v>
      </c>
      <c r="C608" s="2" t="s">
        <v>131</v>
      </c>
      <c r="D608" s="2">
        <v>-0.76425974459951895</v>
      </c>
    </row>
    <row r="609" spans="2:4" x14ac:dyDescent="0.2">
      <c r="B609" s="2" t="s">
        <v>117</v>
      </c>
      <c r="C609" s="2" t="s">
        <v>132</v>
      </c>
      <c r="D609" s="2">
        <v>-0.81266779637089204</v>
      </c>
    </row>
    <row r="610" spans="2:4" x14ac:dyDescent="0.2">
      <c r="B610" s="2" t="s">
        <v>117</v>
      </c>
      <c r="C610" s="2" t="s">
        <v>133</v>
      </c>
      <c r="D610" s="2">
        <v>-0.713269896433954</v>
      </c>
    </row>
    <row r="611" spans="2:4" x14ac:dyDescent="0.2">
      <c r="B611" s="2" t="s">
        <v>117</v>
      </c>
      <c r="C611" s="2" t="s">
        <v>134</v>
      </c>
      <c r="D611" s="2">
        <v>-0.76255764810091198</v>
      </c>
    </row>
    <row r="612" spans="2:4" x14ac:dyDescent="0.2">
      <c r="B612" s="2" t="s">
        <v>117</v>
      </c>
      <c r="C612" s="2" t="s">
        <v>135</v>
      </c>
      <c r="D612" s="2">
        <v>-0.70228654759478804</v>
      </c>
    </row>
    <row r="613" spans="2:4" x14ac:dyDescent="0.2">
      <c r="B613" s="2" t="s">
        <v>117</v>
      </c>
      <c r="C613" s="2" t="s">
        <v>136</v>
      </c>
      <c r="D613" s="2">
        <v>0.99487542417541397</v>
      </c>
    </row>
    <row r="614" spans="2:4" x14ac:dyDescent="0.2">
      <c r="B614" s="2" t="s">
        <v>117</v>
      </c>
      <c r="C614" s="2" t="s">
        <v>138</v>
      </c>
      <c r="D614" s="2">
        <v>-0.69871499807489801</v>
      </c>
    </row>
    <row r="615" spans="2:4" x14ac:dyDescent="0.2">
      <c r="B615" s="2" t="s">
        <v>117</v>
      </c>
      <c r="C615" s="2" t="s">
        <v>139</v>
      </c>
      <c r="D615" s="2">
        <v>-0.74098164857136095</v>
      </c>
    </row>
    <row r="616" spans="2:4" x14ac:dyDescent="0.2">
      <c r="B616" s="2" t="s">
        <v>117</v>
      </c>
      <c r="C616" s="2" t="s">
        <v>140</v>
      </c>
      <c r="D616" s="2">
        <v>-0.65836167217434305</v>
      </c>
    </row>
    <row r="617" spans="2:4" x14ac:dyDescent="0.2">
      <c r="B617" s="2" t="s">
        <v>117</v>
      </c>
      <c r="C617" s="2" t="s">
        <v>141</v>
      </c>
      <c r="D617" s="2">
        <v>-0.76396919036588695</v>
      </c>
    </row>
    <row r="618" spans="2:4" x14ac:dyDescent="0.2">
      <c r="B618" s="2" t="s">
        <v>117</v>
      </c>
      <c r="C618" s="2" t="s">
        <v>142</v>
      </c>
      <c r="D618" s="2">
        <v>0.98849480283764501</v>
      </c>
    </row>
    <row r="619" spans="2:4" x14ac:dyDescent="0.2">
      <c r="B619" s="2" t="s">
        <v>117</v>
      </c>
      <c r="C619" s="2" t="s">
        <v>143</v>
      </c>
      <c r="D619" s="2">
        <v>-0.770204785263089</v>
      </c>
    </row>
    <row r="620" spans="2:4" x14ac:dyDescent="0.2">
      <c r="B620" s="2" t="s">
        <v>118</v>
      </c>
      <c r="C620" s="2" t="s">
        <v>120</v>
      </c>
      <c r="D620" s="2">
        <v>0.80026369880038395</v>
      </c>
    </row>
    <row r="621" spans="2:4" x14ac:dyDescent="0.2">
      <c r="B621" s="2" t="s">
        <v>118</v>
      </c>
      <c r="C621" s="2" t="s">
        <v>121</v>
      </c>
      <c r="D621" s="2">
        <v>0.82108279814393204</v>
      </c>
    </row>
    <row r="622" spans="2:4" x14ac:dyDescent="0.2">
      <c r="B622" s="2" t="s">
        <v>118</v>
      </c>
      <c r="C622" s="2" t="s">
        <v>123</v>
      </c>
      <c r="D622" s="2">
        <v>0.75410097766941497</v>
      </c>
    </row>
    <row r="623" spans="2:4" x14ac:dyDescent="0.2">
      <c r="B623" s="2" t="s">
        <v>118</v>
      </c>
      <c r="C623" s="2" t="s">
        <v>124</v>
      </c>
      <c r="D623" s="2">
        <v>0.81045220004368501</v>
      </c>
    </row>
    <row r="624" spans="2:4" x14ac:dyDescent="0.2">
      <c r="B624" s="2" t="s">
        <v>118</v>
      </c>
      <c r="C624" s="2" t="s">
        <v>126</v>
      </c>
      <c r="D624" s="2">
        <v>-0.816957605340213</v>
      </c>
    </row>
    <row r="625" spans="2:4" x14ac:dyDescent="0.2">
      <c r="B625" s="2" t="s">
        <v>118</v>
      </c>
      <c r="C625" s="2" t="s">
        <v>127</v>
      </c>
      <c r="D625" s="2">
        <v>0.872414940195403</v>
      </c>
    </row>
    <row r="626" spans="2:4" x14ac:dyDescent="0.2">
      <c r="B626" s="2" t="s">
        <v>118</v>
      </c>
      <c r="C626" s="2" t="s">
        <v>128</v>
      </c>
      <c r="D626" s="2">
        <v>0.878159214578763</v>
      </c>
    </row>
    <row r="627" spans="2:4" x14ac:dyDescent="0.2">
      <c r="B627" s="2" t="s">
        <v>118</v>
      </c>
      <c r="C627" s="2" t="s">
        <v>131</v>
      </c>
      <c r="D627" s="2">
        <v>0.823183621194571</v>
      </c>
    </row>
    <row r="628" spans="2:4" x14ac:dyDescent="0.2">
      <c r="B628" s="2" t="s">
        <v>118</v>
      </c>
      <c r="C628" s="2" t="s">
        <v>132</v>
      </c>
      <c r="D628" s="2">
        <v>0.64233767080625104</v>
      </c>
    </row>
    <row r="629" spans="2:4" x14ac:dyDescent="0.2">
      <c r="B629" s="2" t="s">
        <v>118</v>
      </c>
      <c r="C629" s="2" t="s">
        <v>133</v>
      </c>
      <c r="D629" s="2">
        <v>0.86970921884498897</v>
      </c>
    </row>
    <row r="630" spans="2:4" x14ac:dyDescent="0.2">
      <c r="B630" s="2" t="s">
        <v>118</v>
      </c>
      <c r="C630" s="2" t="s">
        <v>152</v>
      </c>
      <c r="D630" s="2">
        <v>0.62136578466637604</v>
      </c>
    </row>
    <row r="631" spans="2:4" x14ac:dyDescent="0.2">
      <c r="B631" s="2" t="s">
        <v>118</v>
      </c>
      <c r="C631" s="2" t="s">
        <v>135</v>
      </c>
      <c r="D631" s="2">
        <v>0.67131015252192505</v>
      </c>
    </row>
    <row r="632" spans="2:4" x14ac:dyDescent="0.2">
      <c r="B632" s="2" t="s">
        <v>118</v>
      </c>
      <c r="C632" s="2" t="s">
        <v>138</v>
      </c>
      <c r="D632" s="2">
        <v>0.79169293858462297</v>
      </c>
    </row>
    <row r="633" spans="2:4" x14ac:dyDescent="0.2">
      <c r="B633" s="2" t="s">
        <v>118</v>
      </c>
      <c r="C633" s="2" t="s">
        <v>139</v>
      </c>
      <c r="D633" s="2">
        <v>0.767927442445826</v>
      </c>
    </row>
    <row r="634" spans="2:4" x14ac:dyDescent="0.2">
      <c r="B634" s="2" t="s">
        <v>118</v>
      </c>
      <c r="C634" s="2" t="s">
        <v>141</v>
      </c>
      <c r="D634" s="2">
        <v>0.82997988341018303</v>
      </c>
    </row>
    <row r="635" spans="2:4" x14ac:dyDescent="0.2">
      <c r="B635" s="2" t="s">
        <v>118</v>
      </c>
      <c r="C635" s="2" t="s">
        <v>159</v>
      </c>
      <c r="D635" s="2">
        <v>-0.76625345337343997</v>
      </c>
    </row>
    <row r="636" spans="2:4" x14ac:dyDescent="0.2">
      <c r="B636" s="2" t="s">
        <v>119</v>
      </c>
      <c r="C636" s="2" t="s">
        <v>121</v>
      </c>
      <c r="D636" s="2">
        <v>0.83953763949003202</v>
      </c>
    </row>
    <row r="637" spans="2:4" x14ac:dyDescent="0.2">
      <c r="B637" s="2" t="s">
        <v>119</v>
      </c>
      <c r="C637" s="2" t="s">
        <v>122</v>
      </c>
      <c r="D637" s="2">
        <v>0.96797612783337805</v>
      </c>
    </row>
    <row r="638" spans="2:4" x14ac:dyDescent="0.2">
      <c r="B638" s="2" t="s">
        <v>119</v>
      </c>
      <c r="C638" s="2" t="s">
        <v>123</v>
      </c>
      <c r="D638" s="2">
        <v>0.86801020751347902</v>
      </c>
    </row>
    <row r="639" spans="2:4" x14ac:dyDescent="0.2">
      <c r="B639" s="2" t="s">
        <v>119</v>
      </c>
      <c r="C639" s="2" t="s">
        <v>124</v>
      </c>
      <c r="D639" s="2">
        <v>0.76925580092516899</v>
      </c>
    </row>
    <row r="640" spans="2:4" x14ac:dyDescent="0.2">
      <c r="B640" s="2" t="s">
        <v>119</v>
      </c>
      <c r="C640" s="2" t="s">
        <v>157</v>
      </c>
      <c r="D640" s="2">
        <v>0.69589483850008205</v>
      </c>
    </row>
    <row r="641" spans="2:4" x14ac:dyDescent="0.2">
      <c r="B641" s="2" t="s">
        <v>119</v>
      </c>
      <c r="C641" s="2" t="s">
        <v>125</v>
      </c>
      <c r="D641" s="2">
        <v>0.95670368031225395</v>
      </c>
    </row>
    <row r="642" spans="2:4" x14ac:dyDescent="0.2">
      <c r="B642" s="2" t="s">
        <v>119</v>
      </c>
      <c r="C642" s="2" t="s">
        <v>127</v>
      </c>
      <c r="D642" s="2">
        <v>0.61041730127941696</v>
      </c>
    </row>
    <row r="643" spans="2:4" x14ac:dyDescent="0.2">
      <c r="B643" s="2" t="s">
        <v>119</v>
      </c>
      <c r="C643" s="2" t="s">
        <v>129</v>
      </c>
      <c r="D643" s="2">
        <v>0.93209877924460205</v>
      </c>
    </row>
    <row r="644" spans="2:4" x14ac:dyDescent="0.2">
      <c r="B644" s="2" t="s">
        <v>119</v>
      </c>
      <c r="C644" s="2" t="s">
        <v>130</v>
      </c>
      <c r="D644" s="2">
        <v>0.97475497216002704</v>
      </c>
    </row>
    <row r="645" spans="2:4" x14ac:dyDescent="0.2">
      <c r="B645" s="2" t="s">
        <v>119</v>
      </c>
      <c r="C645" s="2" t="s">
        <v>158</v>
      </c>
      <c r="D645" s="2">
        <v>0.688002572478986</v>
      </c>
    </row>
    <row r="646" spans="2:4" x14ac:dyDescent="0.2">
      <c r="B646" s="2" t="s">
        <v>119</v>
      </c>
      <c r="C646" s="2" t="s">
        <v>131</v>
      </c>
      <c r="D646" s="2">
        <v>0.78209683951277797</v>
      </c>
    </row>
    <row r="647" spans="2:4" x14ac:dyDescent="0.2">
      <c r="B647" s="2" t="s">
        <v>119</v>
      </c>
      <c r="C647" s="2" t="s">
        <v>132</v>
      </c>
      <c r="D647" s="2">
        <v>0.79964603539835999</v>
      </c>
    </row>
    <row r="648" spans="2:4" x14ac:dyDescent="0.2">
      <c r="B648" s="2" t="s">
        <v>119</v>
      </c>
      <c r="C648" s="2" t="s">
        <v>133</v>
      </c>
      <c r="D648" s="2">
        <v>0.78484168419412303</v>
      </c>
    </row>
    <row r="649" spans="2:4" x14ac:dyDescent="0.2">
      <c r="B649" s="2" t="s">
        <v>119</v>
      </c>
      <c r="C649" s="2" t="s">
        <v>134</v>
      </c>
      <c r="D649" s="2">
        <v>0.98645821545104895</v>
      </c>
    </row>
    <row r="650" spans="2:4" x14ac:dyDescent="0.2">
      <c r="B650" s="2" t="s">
        <v>119</v>
      </c>
      <c r="C650" s="2" t="s">
        <v>135</v>
      </c>
      <c r="D650" s="2">
        <v>0.91422745657996796</v>
      </c>
    </row>
    <row r="651" spans="2:4" x14ac:dyDescent="0.2">
      <c r="B651" s="2" t="s">
        <v>119</v>
      </c>
      <c r="C651" s="2" t="s">
        <v>136</v>
      </c>
      <c r="D651" s="2">
        <v>-0.74845806794466296</v>
      </c>
    </row>
    <row r="652" spans="2:4" x14ac:dyDescent="0.2">
      <c r="B652" s="2" t="s">
        <v>119</v>
      </c>
      <c r="C652" s="2" t="s">
        <v>137</v>
      </c>
      <c r="D652" s="2">
        <v>0.67985966732129799</v>
      </c>
    </row>
    <row r="653" spans="2:4" x14ac:dyDescent="0.2">
      <c r="B653" s="2" t="s">
        <v>119</v>
      </c>
      <c r="C653" s="2" t="s">
        <v>155</v>
      </c>
      <c r="D653" s="2">
        <v>-0.69083448852305795</v>
      </c>
    </row>
    <row r="654" spans="2:4" x14ac:dyDescent="0.2">
      <c r="B654" s="2" t="s">
        <v>119</v>
      </c>
      <c r="C654" s="2" t="s">
        <v>138</v>
      </c>
      <c r="D654" s="2">
        <v>0.78719410981775495</v>
      </c>
    </row>
    <row r="655" spans="2:4" x14ac:dyDescent="0.2">
      <c r="B655" s="2" t="s">
        <v>119</v>
      </c>
      <c r="C655" s="2" t="s">
        <v>139</v>
      </c>
      <c r="D655" s="2">
        <v>0.83334832548627902</v>
      </c>
    </row>
    <row r="656" spans="2:4" x14ac:dyDescent="0.2">
      <c r="B656" s="2" t="s">
        <v>119</v>
      </c>
      <c r="C656" s="2" t="s">
        <v>140</v>
      </c>
      <c r="D656" s="2">
        <v>0.86852451253343099</v>
      </c>
    </row>
    <row r="657" spans="2:4" x14ac:dyDescent="0.2">
      <c r="B657" s="2" t="s">
        <v>119</v>
      </c>
      <c r="C657" s="2" t="s">
        <v>141</v>
      </c>
      <c r="D657" s="2">
        <v>0.77018752637745103</v>
      </c>
    </row>
    <row r="658" spans="2:4" x14ac:dyDescent="0.2">
      <c r="B658" s="2" t="s">
        <v>119</v>
      </c>
      <c r="C658" s="2" t="s">
        <v>142</v>
      </c>
      <c r="D658" s="2">
        <v>-0.75699049108029204</v>
      </c>
    </row>
    <row r="659" spans="2:4" x14ac:dyDescent="0.2">
      <c r="B659" s="2" t="s">
        <v>119</v>
      </c>
      <c r="C659" s="2" t="s">
        <v>143</v>
      </c>
      <c r="D659" s="2">
        <v>0.87120686351830701</v>
      </c>
    </row>
    <row r="660" spans="2:4" x14ac:dyDescent="0.2">
      <c r="B660" s="2" t="s">
        <v>150</v>
      </c>
      <c r="C660" s="2" t="s">
        <v>127</v>
      </c>
      <c r="D660" s="2">
        <v>-0.602426073607644</v>
      </c>
    </row>
    <row r="661" spans="2:4" x14ac:dyDescent="0.2">
      <c r="B661" s="2" t="s">
        <v>150</v>
      </c>
      <c r="C661" s="2" t="s">
        <v>128</v>
      </c>
      <c r="D661" s="2">
        <v>-0.679165830458766</v>
      </c>
    </row>
    <row r="662" spans="2:4" x14ac:dyDescent="0.2">
      <c r="B662" s="2" t="s">
        <v>150</v>
      </c>
      <c r="C662" s="2" t="s">
        <v>151</v>
      </c>
      <c r="D662" s="2">
        <v>0.78643786577966202</v>
      </c>
    </row>
    <row r="663" spans="2:4" x14ac:dyDescent="0.2">
      <c r="B663" s="2" t="s">
        <v>150</v>
      </c>
      <c r="C663" s="2" t="s">
        <v>152</v>
      </c>
      <c r="D663" s="2">
        <v>-0.93311651341232005</v>
      </c>
    </row>
    <row r="664" spans="2:4" x14ac:dyDescent="0.2">
      <c r="B664" s="2" t="s">
        <v>150</v>
      </c>
      <c r="C664" s="2" t="s">
        <v>136</v>
      </c>
      <c r="D664" s="2">
        <v>0.66553899434915798</v>
      </c>
    </row>
    <row r="665" spans="2:4" x14ac:dyDescent="0.2">
      <c r="B665" s="2" t="s">
        <v>150</v>
      </c>
      <c r="C665" s="2" t="s">
        <v>142</v>
      </c>
      <c r="D665" s="2">
        <v>0.67827216780535005</v>
      </c>
    </row>
    <row r="666" spans="2:4" x14ac:dyDescent="0.2">
      <c r="B666" s="2" t="s">
        <v>120</v>
      </c>
      <c r="C666" s="2" t="s">
        <v>121</v>
      </c>
      <c r="D666" s="2">
        <v>0.81097660962925699</v>
      </c>
    </row>
    <row r="667" spans="2:4" x14ac:dyDescent="0.2">
      <c r="B667" s="2" t="s">
        <v>120</v>
      </c>
      <c r="C667" s="2" t="s">
        <v>122</v>
      </c>
      <c r="D667" s="2">
        <v>0.62273096460206601</v>
      </c>
    </row>
    <row r="668" spans="2:4" x14ac:dyDescent="0.2">
      <c r="B668" s="2" t="s">
        <v>120</v>
      </c>
      <c r="C668" s="2" t="s">
        <v>123</v>
      </c>
      <c r="D668" s="2">
        <v>0.84012215802868495</v>
      </c>
    </row>
    <row r="669" spans="2:4" x14ac:dyDescent="0.2">
      <c r="B669" s="2" t="s">
        <v>120</v>
      </c>
      <c r="C669" s="2" t="s">
        <v>124</v>
      </c>
      <c r="D669" s="2">
        <v>0.89008234838014899</v>
      </c>
    </row>
    <row r="670" spans="2:4" x14ac:dyDescent="0.2">
      <c r="B670" s="2" t="s">
        <v>120</v>
      </c>
      <c r="C670" s="2" t="s">
        <v>125</v>
      </c>
      <c r="D670" s="2">
        <v>0.60971518275070702</v>
      </c>
    </row>
    <row r="671" spans="2:4" x14ac:dyDescent="0.2">
      <c r="B671" s="2" t="s">
        <v>120</v>
      </c>
      <c r="C671" s="2" t="s">
        <v>126</v>
      </c>
      <c r="D671" s="2">
        <v>-0.87608547375833801</v>
      </c>
    </row>
    <row r="672" spans="2:4" x14ac:dyDescent="0.2">
      <c r="B672" s="2" t="s">
        <v>120</v>
      </c>
      <c r="C672" s="2" t="s">
        <v>127</v>
      </c>
      <c r="D672" s="2">
        <v>0.89574911323134698</v>
      </c>
    </row>
    <row r="673" spans="2:4" x14ac:dyDescent="0.2">
      <c r="B673" s="2" t="s">
        <v>120</v>
      </c>
      <c r="C673" s="2" t="s">
        <v>128</v>
      </c>
      <c r="D673" s="2">
        <v>0.89415401303932596</v>
      </c>
    </row>
    <row r="674" spans="2:4" x14ac:dyDescent="0.2">
      <c r="B674" s="2" t="s">
        <v>120</v>
      </c>
      <c r="C674" s="2" t="s">
        <v>129</v>
      </c>
      <c r="D674" s="2">
        <v>0.77717806458720295</v>
      </c>
    </row>
    <row r="675" spans="2:4" x14ac:dyDescent="0.2">
      <c r="B675" s="2" t="s">
        <v>120</v>
      </c>
      <c r="C675" s="2" t="s">
        <v>131</v>
      </c>
      <c r="D675" s="2">
        <v>0.88848050445432702</v>
      </c>
    </row>
    <row r="676" spans="2:4" x14ac:dyDescent="0.2">
      <c r="B676" s="2" t="s">
        <v>120</v>
      </c>
      <c r="C676" s="2" t="s">
        <v>132</v>
      </c>
      <c r="D676" s="2">
        <v>0.85552604703857105</v>
      </c>
    </row>
    <row r="677" spans="2:4" x14ac:dyDescent="0.2">
      <c r="B677" s="2" t="s">
        <v>120</v>
      </c>
      <c r="C677" s="2" t="s">
        <v>151</v>
      </c>
      <c r="D677" s="2">
        <v>-0.62981994027501997</v>
      </c>
    </row>
    <row r="678" spans="2:4" x14ac:dyDescent="0.2">
      <c r="B678" s="2" t="s">
        <v>120</v>
      </c>
      <c r="C678" s="2" t="s">
        <v>133</v>
      </c>
      <c r="D678" s="2">
        <v>0.83626568653087197</v>
      </c>
    </row>
    <row r="679" spans="2:4" x14ac:dyDescent="0.2">
      <c r="B679" s="2" t="s">
        <v>120</v>
      </c>
      <c r="C679" s="2" t="s">
        <v>134</v>
      </c>
      <c r="D679" s="2">
        <v>0.60340753367005195</v>
      </c>
    </row>
    <row r="680" spans="2:4" x14ac:dyDescent="0.2">
      <c r="B680" s="2" t="s">
        <v>120</v>
      </c>
      <c r="C680" s="2" t="s">
        <v>135</v>
      </c>
      <c r="D680" s="2">
        <v>0.815740598690049</v>
      </c>
    </row>
    <row r="681" spans="2:4" x14ac:dyDescent="0.2">
      <c r="B681" s="2" t="s">
        <v>120</v>
      </c>
      <c r="C681" s="2" t="s">
        <v>136</v>
      </c>
      <c r="D681" s="2">
        <v>-0.74099346180220504</v>
      </c>
    </row>
    <row r="682" spans="2:4" x14ac:dyDescent="0.2">
      <c r="B682" s="2" t="s">
        <v>120</v>
      </c>
      <c r="C682" s="2" t="s">
        <v>146</v>
      </c>
      <c r="D682" s="2">
        <v>0.61135718253083404</v>
      </c>
    </row>
    <row r="683" spans="2:4" x14ac:dyDescent="0.2">
      <c r="B683" s="2" t="s">
        <v>120</v>
      </c>
      <c r="C683" s="2" t="s">
        <v>137</v>
      </c>
      <c r="D683" s="2">
        <v>0.66789358195120196</v>
      </c>
    </row>
    <row r="684" spans="2:4" x14ac:dyDescent="0.2">
      <c r="B684" s="2" t="s">
        <v>120</v>
      </c>
      <c r="C684" s="2" t="s">
        <v>138</v>
      </c>
      <c r="D684" s="2">
        <v>0.91789225179540102</v>
      </c>
    </row>
    <row r="685" spans="2:4" x14ac:dyDescent="0.2">
      <c r="B685" s="2" t="s">
        <v>120</v>
      </c>
      <c r="C685" s="2" t="s">
        <v>139</v>
      </c>
      <c r="D685" s="2">
        <v>0.864502576408398</v>
      </c>
    </row>
    <row r="686" spans="2:4" x14ac:dyDescent="0.2">
      <c r="B686" s="2" t="s">
        <v>120</v>
      </c>
      <c r="C686" s="2" t="s">
        <v>140</v>
      </c>
      <c r="D686" s="2">
        <v>0.71528556528134002</v>
      </c>
    </row>
    <row r="687" spans="2:4" x14ac:dyDescent="0.2">
      <c r="B687" s="2" t="s">
        <v>120</v>
      </c>
      <c r="C687" s="2" t="s">
        <v>141</v>
      </c>
      <c r="D687" s="2">
        <v>0.92036145059626195</v>
      </c>
    </row>
    <row r="688" spans="2:4" x14ac:dyDescent="0.2">
      <c r="B688" s="2" t="s">
        <v>120</v>
      </c>
      <c r="C688" s="2" t="s">
        <v>142</v>
      </c>
      <c r="D688" s="2">
        <v>-0.70685873358992002</v>
      </c>
    </row>
    <row r="689" spans="2:4" x14ac:dyDescent="0.2">
      <c r="B689" s="2" t="s">
        <v>120</v>
      </c>
      <c r="C689" s="2" t="s">
        <v>143</v>
      </c>
      <c r="D689" s="2">
        <v>0.75511006383146795</v>
      </c>
    </row>
    <row r="690" spans="2:4" x14ac:dyDescent="0.2">
      <c r="B690" s="2" t="s">
        <v>162</v>
      </c>
      <c r="C690" s="2" t="s">
        <v>136</v>
      </c>
      <c r="D690" s="2">
        <v>-0.663602294198256</v>
      </c>
    </row>
    <row r="691" spans="2:4" x14ac:dyDescent="0.2">
      <c r="B691" s="2" t="s">
        <v>162</v>
      </c>
      <c r="C691" s="2" t="s">
        <v>142</v>
      </c>
      <c r="D691" s="2">
        <v>-0.65110130620379303</v>
      </c>
    </row>
    <row r="692" spans="2:4" x14ac:dyDescent="0.2">
      <c r="B692" s="2" t="s">
        <v>162</v>
      </c>
      <c r="C692" s="2" t="s">
        <v>147</v>
      </c>
      <c r="D692" s="2">
        <v>-0.87167191271368305</v>
      </c>
    </row>
    <row r="693" spans="2:4" x14ac:dyDescent="0.2">
      <c r="B693" s="2" t="s">
        <v>121</v>
      </c>
      <c r="C693" s="2" t="s">
        <v>122</v>
      </c>
      <c r="D693" s="2">
        <v>0.82401028735360204</v>
      </c>
    </row>
    <row r="694" spans="2:4" x14ac:dyDescent="0.2">
      <c r="B694" s="2" t="s">
        <v>121</v>
      </c>
      <c r="C694" s="2" t="s">
        <v>123</v>
      </c>
      <c r="D694" s="2">
        <v>0.98766656914471396</v>
      </c>
    </row>
    <row r="695" spans="2:4" x14ac:dyDescent="0.2">
      <c r="B695" s="2" t="s">
        <v>121</v>
      </c>
      <c r="C695" s="2" t="s">
        <v>124</v>
      </c>
      <c r="D695" s="2">
        <v>0.97840314485511004</v>
      </c>
    </row>
    <row r="696" spans="2:4" x14ac:dyDescent="0.2">
      <c r="B696" s="2" t="s">
        <v>121</v>
      </c>
      <c r="C696" s="2" t="s">
        <v>125</v>
      </c>
      <c r="D696" s="2">
        <v>0.86915575431112002</v>
      </c>
    </row>
    <row r="697" spans="2:4" x14ac:dyDescent="0.2">
      <c r="B697" s="2" t="s">
        <v>121</v>
      </c>
      <c r="C697" s="2" t="s">
        <v>126</v>
      </c>
      <c r="D697" s="2">
        <v>-0.73626179763260002</v>
      </c>
    </row>
    <row r="698" spans="2:4" x14ac:dyDescent="0.2">
      <c r="B698" s="2" t="s">
        <v>121</v>
      </c>
      <c r="C698" s="2" t="s">
        <v>127</v>
      </c>
      <c r="D698" s="2">
        <v>0.93360044744177295</v>
      </c>
    </row>
    <row r="699" spans="2:4" x14ac:dyDescent="0.2">
      <c r="B699" s="2" t="s">
        <v>121</v>
      </c>
      <c r="C699" s="2" t="s">
        <v>128</v>
      </c>
      <c r="D699" s="2">
        <v>0.92167911762784605</v>
      </c>
    </row>
    <row r="700" spans="2:4" x14ac:dyDescent="0.2">
      <c r="B700" s="2" t="s">
        <v>121</v>
      </c>
      <c r="C700" s="2" t="s">
        <v>129</v>
      </c>
      <c r="D700" s="2">
        <v>0.89506882234082996</v>
      </c>
    </row>
    <row r="701" spans="2:4" x14ac:dyDescent="0.2">
      <c r="B701" s="2" t="s">
        <v>121</v>
      </c>
      <c r="C701" s="2" t="s">
        <v>130</v>
      </c>
      <c r="D701" s="2">
        <v>0.80362625230468998</v>
      </c>
    </row>
    <row r="702" spans="2:4" x14ac:dyDescent="0.2">
      <c r="B702" s="2" t="s">
        <v>121</v>
      </c>
      <c r="C702" s="2" t="s">
        <v>131</v>
      </c>
      <c r="D702" s="2">
        <v>0.984348628095297</v>
      </c>
    </row>
    <row r="703" spans="2:4" x14ac:dyDescent="0.2">
      <c r="B703" s="2" t="s">
        <v>121</v>
      </c>
      <c r="C703" s="2" t="s">
        <v>132</v>
      </c>
      <c r="D703" s="2">
        <v>0.92616627423865805</v>
      </c>
    </row>
    <row r="704" spans="2:4" x14ac:dyDescent="0.2">
      <c r="B704" s="2" t="s">
        <v>121</v>
      </c>
      <c r="C704" s="2" t="s">
        <v>133</v>
      </c>
      <c r="D704" s="2">
        <v>0.99378383905454304</v>
      </c>
    </row>
    <row r="705" spans="2:4" x14ac:dyDescent="0.2">
      <c r="B705" s="2" t="s">
        <v>121</v>
      </c>
      <c r="C705" s="2" t="s">
        <v>134</v>
      </c>
      <c r="D705" s="2">
        <v>0.80306476428318097</v>
      </c>
    </row>
    <row r="706" spans="2:4" x14ac:dyDescent="0.2">
      <c r="B706" s="2" t="s">
        <v>121</v>
      </c>
      <c r="C706" s="2" t="s">
        <v>135</v>
      </c>
      <c r="D706" s="2">
        <v>0.92180193121640897</v>
      </c>
    </row>
    <row r="707" spans="2:4" x14ac:dyDescent="0.2">
      <c r="B707" s="2" t="s">
        <v>121</v>
      </c>
      <c r="C707" s="2" t="s">
        <v>136</v>
      </c>
      <c r="D707" s="2">
        <v>-0.777111567990448</v>
      </c>
    </row>
    <row r="708" spans="2:4" x14ac:dyDescent="0.2">
      <c r="B708" s="2" t="s">
        <v>121</v>
      </c>
      <c r="C708" s="2" t="s">
        <v>137</v>
      </c>
      <c r="D708" s="2">
        <v>0.74155123295437497</v>
      </c>
    </row>
    <row r="709" spans="2:4" x14ac:dyDescent="0.2">
      <c r="B709" s="2" t="s">
        <v>121</v>
      </c>
      <c r="C709" s="2" t="s">
        <v>138</v>
      </c>
      <c r="D709" s="2">
        <v>0.95209100322594897</v>
      </c>
    </row>
    <row r="710" spans="2:4" x14ac:dyDescent="0.2">
      <c r="B710" s="2" t="s">
        <v>121</v>
      </c>
      <c r="C710" s="2" t="s">
        <v>139</v>
      </c>
      <c r="D710" s="2">
        <v>0.98226321720729404</v>
      </c>
    </row>
    <row r="711" spans="2:4" x14ac:dyDescent="0.2">
      <c r="B711" s="2" t="s">
        <v>121</v>
      </c>
      <c r="C711" s="2" t="s">
        <v>140</v>
      </c>
      <c r="D711" s="2">
        <v>0.87013009201212599</v>
      </c>
    </row>
    <row r="712" spans="2:4" x14ac:dyDescent="0.2">
      <c r="B712" s="2" t="s">
        <v>121</v>
      </c>
      <c r="C712" s="2" t="s">
        <v>141</v>
      </c>
      <c r="D712" s="2">
        <v>0.97301454463271897</v>
      </c>
    </row>
    <row r="713" spans="2:4" x14ac:dyDescent="0.2">
      <c r="B713" s="2" t="s">
        <v>121</v>
      </c>
      <c r="C713" s="2" t="s">
        <v>142</v>
      </c>
      <c r="D713" s="2">
        <v>-0.78374590378490006</v>
      </c>
    </row>
    <row r="714" spans="2:4" x14ac:dyDescent="0.2">
      <c r="B714" s="2" t="s">
        <v>121</v>
      </c>
      <c r="C714" s="2" t="s">
        <v>143</v>
      </c>
      <c r="D714" s="2">
        <v>0.85191523383059198</v>
      </c>
    </row>
    <row r="715" spans="2:4" x14ac:dyDescent="0.2">
      <c r="B715" s="2" t="s">
        <v>121</v>
      </c>
      <c r="C715" s="2" t="s">
        <v>159</v>
      </c>
      <c r="D715" s="2">
        <v>-0.675421056833718</v>
      </c>
    </row>
    <row r="716" spans="2:4" x14ac:dyDescent="0.2">
      <c r="B716" s="2" t="s">
        <v>122</v>
      </c>
      <c r="C716" s="2" t="s">
        <v>123</v>
      </c>
      <c r="D716" s="2">
        <v>0.88290875927551005</v>
      </c>
    </row>
    <row r="717" spans="2:4" x14ac:dyDescent="0.2">
      <c r="B717" s="2" t="s">
        <v>122</v>
      </c>
      <c r="C717" s="2" t="s">
        <v>124</v>
      </c>
      <c r="D717" s="2">
        <v>0.80023220925429805</v>
      </c>
    </row>
    <row r="718" spans="2:4" x14ac:dyDescent="0.2">
      <c r="B718" s="2" t="s">
        <v>122</v>
      </c>
      <c r="C718" s="2" t="s">
        <v>125</v>
      </c>
      <c r="D718" s="2">
        <v>0.91745677892839805</v>
      </c>
    </row>
    <row r="719" spans="2:4" x14ac:dyDescent="0.2">
      <c r="B719" s="2" t="s">
        <v>122</v>
      </c>
      <c r="C719" s="2" t="s">
        <v>127</v>
      </c>
      <c r="D719" s="2">
        <v>0.64546744559976599</v>
      </c>
    </row>
    <row r="720" spans="2:4" x14ac:dyDescent="0.2">
      <c r="B720" s="2" t="s">
        <v>122</v>
      </c>
      <c r="C720" s="2" t="s">
        <v>128</v>
      </c>
      <c r="D720" s="2">
        <v>0.62177644278042399</v>
      </c>
    </row>
    <row r="721" spans="2:4" x14ac:dyDescent="0.2">
      <c r="B721" s="2" t="s">
        <v>122</v>
      </c>
      <c r="C721" s="2" t="s">
        <v>129</v>
      </c>
      <c r="D721" s="2">
        <v>0.97509978450642798</v>
      </c>
    </row>
    <row r="722" spans="2:4" x14ac:dyDescent="0.2">
      <c r="B722" s="2" t="s">
        <v>122</v>
      </c>
      <c r="C722" s="2" t="s">
        <v>130</v>
      </c>
      <c r="D722" s="2">
        <v>0.92793953598599899</v>
      </c>
    </row>
    <row r="723" spans="2:4" x14ac:dyDescent="0.2">
      <c r="B723" s="2" t="s">
        <v>122</v>
      </c>
      <c r="C723" s="2" t="s">
        <v>158</v>
      </c>
      <c r="D723" s="2">
        <v>0.63581173402459701</v>
      </c>
    </row>
    <row r="724" spans="2:4" x14ac:dyDescent="0.2">
      <c r="B724" s="2" t="s">
        <v>122</v>
      </c>
      <c r="C724" s="2" t="s">
        <v>131</v>
      </c>
      <c r="D724" s="2">
        <v>0.80344841923875299</v>
      </c>
    </row>
    <row r="725" spans="2:4" x14ac:dyDescent="0.2">
      <c r="B725" s="2" t="s">
        <v>122</v>
      </c>
      <c r="C725" s="2" t="s">
        <v>132</v>
      </c>
      <c r="D725" s="2">
        <v>0.87750901741717202</v>
      </c>
    </row>
    <row r="726" spans="2:4" x14ac:dyDescent="0.2">
      <c r="B726" s="2" t="s">
        <v>122</v>
      </c>
      <c r="C726" s="2" t="s">
        <v>133</v>
      </c>
      <c r="D726" s="2">
        <v>0.76678839977104096</v>
      </c>
    </row>
    <row r="727" spans="2:4" x14ac:dyDescent="0.2">
      <c r="B727" s="2" t="s">
        <v>122</v>
      </c>
      <c r="C727" s="2" t="s">
        <v>134</v>
      </c>
      <c r="D727" s="2">
        <v>0.980298754415586</v>
      </c>
    </row>
    <row r="728" spans="2:4" x14ac:dyDescent="0.2">
      <c r="B728" s="2" t="s">
        <v>122</v>
      </c>
      <c r="C728" s="2" t="s">
        <v>135</v>
      </c>
      <c r="D728" s="2">
        <v>0.91775958637537203</v>
      </c>
    </row>
    <row r="729" spans="2:4" x14ac:dyDescent="0.2">
      <c r="B729" s="2" t="s">
        <v>122</v>
      </c>
      <c r="C729" s="2" t="s">
        <v>136</v>
      </c>
      <c r="D729" s="2">
        <v>-0.81560213732001696</v>
      </c>
    </row>
    <row r="730" spans="2:4" x14ac:dyDescent="0.2">
      <c r="B730" s="2" t="s">
        <v>122</v>
      </c>
      <c r="C730" s="2" t="s">
        <v>137</v>
      </c>
      <c r="D730" s="2">
        <v>0.73973801991740296</v>
      </c>
    </row>
    <row r="731" spans="2:4" x14ac:dyDescent="0.2">
      <c r="B731" s="2" t="s">
        <v>122</v>
      </c>
      <c r="C731" s="2" t="s">
        <v>138</v>
      </c>
      <c r="D731" s="2">
        <v>0.81823086813233603</v>
      </c>
    </row>
    <row r="732" spans="2:4" x14ac:dyDescent="0.2">
      <c r="B732" s="2" t="s">
        <v>122</v>
      </c>
      <c r="C732" s="2" t="s">
        <v>139</v>
      </c>
      <c r="D732" s="2">
        <v>0.85874412946554002</v>
      </c>
    </row>
    <row r="733" spans="2:4" x14ac:dyDescent="0.2">
      <c r="B733" s="2" t="s">
        <v>122</v>
      </c>
      <c r="C733" s="2" t="s">
        <v>140</v>
      </c>
      <c r="D733" s="2">
        <v>0.92909189615136301</v>
      </c>
    </row>
    <row r="734" spans="2:4" x14ac:dyDescent="0.2">
      <c r="B734" s="2" t="s">
        <v>122</v>
      </c>
      <c r="C734" s="2" t="s">
        <v>141</v>
      </c>
      <c r="D734" s="2">
        <v>0.79646411408288997</v>
      </c>
    </row>
    <row r="735" spans="2:4" x14ac:dyDescent="0.2">
      <c r="B735" s="2" t="s">
        <v>122</v>
      </c>
      <c r="C735" s="2" t="s">
        <v>142</v>
      </c>
      <c r="D735" s="2">
        <v>-0.81451555936196396</v>
      </c>
    </row>
    <row r="736" spans="2:4" x14ac:dyDescent="0.2">
      <c r="B736" s="2" t="s">
        <v>122</v>
      </c>
      <c r="C736" s="2" t="s">
        <v>143</v>
      </c>
      <c r="D736" s="2">
        <v>0.95310889246272301</v>
      </c>
    </row>
    <row r="737" spans="2:4" x14ac:dyDescent="0.2">
      <c r="B737" s="2" t="s">
        <v>123</v>
      </c>
      <c r="C737" s="2" t="s">
        <v>124</v>
      </c>
      <c r="D737" s="2">
        <v>0.98350350898164696</v>
      </c>
    </row>
    <row r="738" spans="2:4" x14ac:dyDescent="0.2">
      <c r="B738" s="2" t="s">
        <v>123</v>
      </c>
      <c r="C738" s="2" t="s">
        <v>125</v>
      </c>
      <c r="D738" s="2">
        <v>0.87702858880948398</v>
      </c>
    </row>
    <row r="739" spans="2:4" x14ac:dyDescent="0.2">
      <c r="B739" s="2" t="s">
        <v>123</v>
      </c>
      <c r="C739" s="2" t="s">
        <v>126</v>
      </c>
      <c r="D739" s="2">
        <v>-0.74304667799286495</v>
      </c>
    </row>
    <row r="740" spans="2:4" x14ac:dyDescent="0.2">
      <c r="B740" s="2" t="s">
        <v>123</v>
      </c>
      <c r="C740" s="2" t="s">
        <v>127</v>
      </c>
      <c r="D740" s="2">
        <v>0.92196046985977198</v>
      </c>
    </row>
    <row r="741" spans="2:4" x14ac:dyDescent="0.2">
      <c r="B741" s="2" t="s">
        <v>123</v>
      </c>
      <c r="C741" s="2" t="s">
        <v>128</v>
      </c>
      <c r="D741" s="2">
        <v>0.90414076045848302</v>
      </c>
    </row>
    <row r="742" spans="2:4" x14ac:dyDescent="0.2">
      <c r="B742" s="2" t="s">
        <v>123</v>
      </c>
      <c r="C742" s="2" t="s">
        <v>129</v>
      </c>
      <c r="D742" s="2">
        <v>0.94900124769949201</v>
      </c>
    </row>
    <row r="743" spans="2:4" x14ac:dyDescent="0.2">
      <c r="B743" s="2" t="s">
        <v>123</v>
      </c>
      <c r="C743" s="2" t="s">
        <v>130</v>
      </c>
      <c r="D743" s="2">
        <v>0.81791114596112502</v>
      </c>
    </row>
    <row r="744" spans="2:4" x14ac:dyDescent="0.2">
      <c r="B744" s="2" t="s">
        <v>123</v>
      </c>
      <c r="C744" s="2" t="s">
        <v>131</v>
      </c>
      <c r="D744" s="2">
        <v>0.98632640166739505</v>
      </c>
    </row>
    <row r="745" spans="2:4" x14ac:dyDescent="0.2">
      <c r="B745" s="2" t="s">
        <v>123</v>
      </c>
      <c r="C745" s="2" t="s">
        <v>132</v>
      </c>
      <c r="D745" s="2">
        <v>0.96753405280343896</v>
      </c>
    </row>
    <row r="746" spans="2:4" x14ac:dyDescent="0.2">
      <c r="B746" s="2" t="s">
        <v>123</v>
      </c>
      <c r="C746" s="2" t="s">
        <v>133</v>
      </c>
      <c r="D746" s="2">
        <v>0.97218813159547901</v>
      </c>
    </row>
    <row r="747" spans="2:4" x14ac:dyDescent="0.2">
      <c r="B747" s="2" t="s">
        <v>123</v>
      </c>
      <c r="C747" s="2" t="s">
        <v>134</v>
      </c>
      <c r="D747" s="2">
        <v>0.85238899790483502</v>
      </c>
    </row>
    <row r="748" spans="2:4" x14ac:dyDescent="0.2">
      <c r="B748" s="2" t="s">
        <v>123</v>
      </c>
      <c r="C748" s="2" t="s">
        <v>135</v>
      </c>
      <c r="D748" s="2">
        <v>0.95570125815905305</v>
      </c>
    </row>
    <row r="749" spans="2:4" x14ac:dyDescent="0.2">
      <c r="B749" s="2" t="s">
        <v>123</v>
      </c>
      <c r="C749" s="2" t="s">
        <v>136</v>
      </c>
      <c r="D749" s="2">
        <v>-0.81751265881471602</v>
      </c>
    </row>
    <row r="750" spans="2:4" x14ac:dyDescent="0.2">
      <c r="B750" s="2" t="s">
        <v>123</v>
      </c>
      <c r="C750" s="2" t="s">
        <v>137</v>
      </c>
      <c r="D750" s="2">
        <v>0.79465254964652299</v>
      </c>
    </row>
    <row r="751" spans="2:4" x14ac:dyDescent="0.2">
      <c r="B751" s="2" t="s">
        <v>123</v>
      </c>
      <c r="C751" s="2" t="s">
        <v>138</v>
      </c>
      <c r="D751" s="2">
        <v>0.97403440630864302</v>
      </c>
    </row>
    <row r="752" spans="2:4" x14ac:dyDescent="0.2">
      <c r="B752" s="2" t="s">
        <v>123</v>
      </c>
      <c r="C752" s="2" t="s">
        <v>139</v>
      </c>
      <c r="D752" s="2">
        <v>0.99681922651750998</v>
      </c>
    </row>
    <row r="753" spans="2:4" x14ac:dyDescent="0.2">
      <c r="B753" s="2" t="s">
        <v>123</v>
      </c>
      <c r="C753" s="2" t="s">
        <v>140</v>
      </c>
      <c r="D753" s="2">
        <v>0.925122018941264</v>
      </c>
    </row>
    <row r="754" spans="2:4" x14ac:dyDescent="0.2">
      <c r="B754" s="2" t="s">
        <v>123</v>
      </c>
      <c r="C754" s="2" t="s">
        <v>141</v>
      </c>
      <c r="D754" s="2">
        <v>0.98083022543651199</v>
      </c>
    </row>
    <row r="755" spans="2:4" x14ac:dyDescent="0.2">
      <c r="B755" s="2" t="s">
        <v>123</v>
      </c>
      <c r="C755" s="2" t="s">
        <v>142</v>
      </c>
      <c r="D755" s="2">
        <v>-0.81654464256520898</v>
      </c>
    </row>
    <row r="756" spans="2:4" x14ac:dyDescent="0.2">
      <c r="B756" s="2" t="s">
        <v>123</v>
      </c>
      <c r="C756" s="2" t="s">
        <v>143</v>
      </c>
      <c r="D756" s="2">
        <v>0.92098877393370304</v>
      </c>
    </row>
    <row r="757" spans="2:4" x14ac:dyDescent="0.2">
      <c r="B757" s="2" t="s">
        <v>124</v>
      </c>
      <c r="C757" s="2" t="s">
        <v>125</v>
      </c>
      <c r="D757" s="2">
        <v>0.81173743934716203</v>
      </c>
    </row>
    <row r="758" spans="2:4" x14ac:dyDescent="0.2">
      <c r="B758" s="2" t="s">
        <v>124</v>
      </c>
      <c r="C758" s="2" t="s">
        <v>126</v>
      </c>
      <c r="D758" s="2">
        <v>-0.78413121336833402</v>
      </c>
    </row>
    <row r="759" spans="2:4" x14ac:dyDescent="0.2">
      <c r="B759" s="2" t="s">
        <v>124</v>
      </c>
      <c r="C759" s="2" t="s">
        <v>127</v>
      </c>
      <c r="D759" s="2">
        <v>0.97257913922927997</v>
      </c>
    </row>
    <row r="760" spans="2:4" x14ac:dyDescent="0.2">
      <c r="B760" s="2" t="s">
        <v>124</v>
      </c>
      <c r="C760" s="2" t="s">
        <v>128</v>
      </c>
      <c r="D760" s="2">
        <v>0.96504663070826902</v>
      </c>
    </row>
    <row r="761" spans="2:4" x14ac:dyDescent="0.2">
      <c r="B761" s="2" t="s">
        <v>124</v>
      </c>
      <c r="C761" s="2" t="s">
        <v>129</v>
      </c>
      <c r="D761" s="2">
        <v>0.89595087481478197</v>
      </c>
    </row>
    <row r="762" spans="2:4" x14ac:dyDescent="0.2">
      <c r="B762" s="2" t="s">
        <v>124</v>
      </c>
      <c r="C762" s="2" t="s">
        <v>130</v>
      </c>
      <c r="D762" s="2">
        <v>0.72577703939805205</v>
      </c>
    </row>
    <row r="763" spans="2:4" x14ac:dyDescent="0.2">
      <c r="B763" s="2" t="s">
        <v>124</v>
      </c>
      <c r="C763" s="2" t="s">
        <v>131</v>
      </c>
      <c r="D763" s="2">
        <v>0.99911135900244696</v>
      </c>
    </row>
    <row r="764" spans="2:4" x14ac:dyDescent="0.2">
      <c r="B764" s="2" t="s">
        <v>124</v>
      </c>
      <c r="C764" s="2" t="s">
        <v>132</v>
      </c>
      <c r="D764" s="2">
        <v>0.96728316968680905</v>
      </c>
    </row>
    <row r="765" spans="2:4" x14ac:dyDescent="0.2">
      <c r="B765" s="2" t="s">
        <v>124</v>
      </c>
      <c r="C765" s="2" t="s">
        <v>133</v>
      </c>
      <c r="D765" s="2">
        <v>0.98052902347775295</v>
      </c>
    </row>
    <row r="766" spans="2:4" x14ac:dyDescent="0.2">
      <c r="B766" s="2" t="s">
        <v>124</v>
      </c>
      <c r="C766" s="2" t="s">
        <v>134</v>
      </c>
      <c r="D766" s="2">
        <v>0.75576873062345895</v>
      </c>
    </row>
    <row r="767" spans="2:4" x14ac:dyDescent="0.2">
      <c r="B767" s="2" t="s">
        <v>124</v>
      </c>
      <c r="C767" s="2" t="s">
        <v>152</v>
      </c>
      <c r="D767" s="2">
        <v>0.65817266302314803</v>
      </c>
    </row>
    <row r="768" spans="2:4" x14ac:dyDescent="0.2">
      <c r="B768" s="2" t="s">
        <v>124</v>
      </c>
      <c r="C768" s="2" t="s">
        <v>135</v>
      </c>
      <c r="D768" s="2">
        <v>0.90289492044641195</v>
      </c>
    </row>
    <row r="769" spans="2:4" x14ac:dyDescent="0.2">
      <c r="B769" s="2" t="s">
        <v>124</v>
      </c>
      <c r="C769" s="2" t="s">
        <v>136</v>
      </c>
      <c r="D769" s="2">
        <v>-0.82277659936273295</v>
      </c>
    </row>
    <row r="770" spans="2:4" x14ac:dyDescent="0.2">
      <c r="B770" s="2" t="s">
        <v>124</v>
      </c>
      <c r="C770" s="2" t="s">
        <v>137</v>
      </c>
      <c r="D770" s="2">
        <v>0.75046295010739394</v>
      </c>
    </row>
    <row r="771" spans="2:4" x14ac:dyDescent="0.2">
      <c r="B771" s="2" t="s">
        <v>124</v>
      </c>
      <c r="C771" s="2" t="s">
        <v>138</v>
      </c>
      <c r="D771" s="2">
        <v>0.97156504478185102</v>
      </c>
    </row>
    <row r="772" spans="2:4" x14ac:dyDescent="0.2">
      <c r="B772" s="2" t="s">
        <v>124</v>
      </c>
      <c r="C772" s="2" t="s">
        <v>139</v>
      </c>
      <c r="D772" s="2">
        <v>0.988913311695645</v>
      </c>
    </row>
    <row r="773" spans="2:4" x14ac:dyDescent="0.2">
      <c r="B773" s="2" t="s">
        <v>124</v>
      </c>
      <c r="C773" s="2" t="s">
        <v>140</v>
      </c>
      <c r="D773" s="2">
        <v>0.87306777608064701</v>
      </c>
    </row>
    <row r="774" spans="2:4" x14ac:dyDescent="0.2">
      <c r="B774" s="2" t="s">
        <v>124</v>
      </c>
      <c r="C774" s="2" t="s">
        <v>141</v>
      </c>
      <c r="D774" s="2">
        <v>0.995398465861982</v>
      </c>
    </row>
    <row r="775" spans="2:4" x14ac:dyDescent="0.2">
      <c r="B775" s="2" t="s">
        <v>124</v>
      </c>
      <c r="C775" s="2" t="s">
        <v>142</v>
      </c>
      <c r="D775" s="2">
        <v>-0.819509887050756</v>
      </c>
    </row>
    <row r="776" spans="2:4" x14ac:dyDescent="0.2">
      <c r="B776" s="2" t="s">
        <v>124</v>
      </c>
      <c r="C776" s="2" t="s">
        <v>143</v>
      </c>
      <c r="D776" s="2">
        <v>0.87589082006574803</v>
      </c>
    </row>
    <row r="777" spans="2:4" x14ac:dyDescent="0.2">
      <c r="B777" s="2" t="s">
        <v>157</v>
      </c>
      <c r="C777" s="2" t="s">
        <v>130</v>
      </c>
      <c r="D777" s="2">
        <v>0.63419983285090298</v>
      </c>
    </row>
    <row r="778" spans="2:4" x14ac:dyDescent="0.2">
      <c r="B778" s="2" t="s">
        <v>157</v>
      </c>
      <c r="C778" s="2" t="s">
        <v>158</v>
      </c>
      <c r="D778" s="2">
        <v>0.73039085666403902</v>
      </c>
    </row>
    <row r="779" spans="2:4" x14ac:dyDescent="0.2">
      <c r="B779" s="2" t="s">
        <v>157</v>
      </c>
      <c r="C779" s="2" t="s">
        <v>151</v>
      </c>
      <c r="D779" s="2">
        <v>0.65481339025039997</v>
      </c>
    </row>
    <row r="780" spans="2:4" x14ac:dyDescent="0.2">
      <c r="B780" s="2" t="s">
        <v>157</v>
      </c>
      <c r="C780" s="2" t="s">
        <v>134</v>
      </c>
      <c r="D780" s="2">
        <v>0.67149786091228503</v>
      </c>
    </row>
    <row r="781" spans="2:4" x14ac:dyDescent="0.2">
      <c r="B781" s="2" t="s">
        <v>125</v>
      </c>
      <c r="C781" s="2" t="s">
        <v>127</v>
      </c>
      <c r="D781" s="2">
        <v>0.66673236219032705</v>
      </c>
    </row>
    <row r="782" spans="2:4" x14ac:dyDescent="0.2">
      <c r="B782" s="2" t="s">
        <v>125</v>
      </c>
      <c r="C782" s="2" t="s">
        <v>128</v>
      </c>
      <c r="D782" s="2">
        <v>0.68355016055380002</v>
      </c>
    </row>
    <row r="783" spans="2:4" x14ac:dyDescent="0.2">
      <c r="B783" s="2" t="s">
        <v>125</v>
      </c>
      <c r="C783" s="2" t="s">
        <v>129</v>
      </c>
      <c r="D783" s="2">
        <v>0.89793404106024899</v>
      </c>
    </row>
    <row r="784" spans="2:4" x14ac:dyDescent="0.2">
      <c r="B784" s="2" t="s">
        <v>125</v>
      </c>
      <c r="C784" s="2" t="s">
        <v>130</v>
      </c>
      <c r="D784" s="2">
        <v>0.98396113535517304</v>
      </c>
    </row>
    <row r="785" spans="2:4" x14ac:dyDescent="0.2">
      <c r="B785" s="2" t="s">
        <v>125</v>
      </c>
      <c r="C785" s="2" t="s">
        <v>131</v>
      </c>
      <c r="D785" s="2">
        <v>0.82472633799623296</v>
      </c>
    </row>
    <row r="786" spans="2:4" x14ac:dyDescent="0.2">
      <c r="B786" s="2" t="s">
        <v>125</v>
      </c>
      <c r="C786" s="2" t="s">
        <v>132</v>
      </c>
      <c r="D786" s="2">
        <v>0.80445906611836704</v>
      </c>
    </row>
    <row r="787" spans="2:4" x14ac:dyDescent="0.2">
      <c r="B787" s="2" t="s">
        <v>125</v>
      </c>
      <c r="C787" s="2" t="s">
        <v>133</v>
      </c>
      <c r="D787" s="2">
        <v>0.84021594621318096</v>
      </c>
    </row>
    <row r="788" spans="2:4" x14ac:dyDescent="0.2">
      <c r="B788" s="2" t="s">
        <v>125</v>
      </c>
      <c r="C788" s="2" t="s">
        <v>134</v>
      </c>
      <c r="D788" s="2">
        <v>0.94028723877071696</v>
      </c>
    </row>
    <row r="789" spans="2:4" x14ac:dyDescent="0.2">
      <c r="B789" s="2" t="s">
        <v>125</v>
      </c>
      <c r="C789" s="2" t="s">
        <v>135</v>
      </c>
      <c r="D789" s="2">
        <v>0.86680426645157305</v>
      </c>
    </row>
    <row r="790" spans="2:4" x14ac:dyDescent="0.2">
      <c r="B790" s="2" t="s">
        <v>125</v>
      </c>
      <c r="C790" s="2" t="s">
        <v>136</v>
      </c>
      <c r="D790" s="2">
        <v>-0.86276428808625205</v>
      </c>
    </row>
    <row r="791" spans="2:4" x14ac:dyDescent="0.2">
      <c r="B791" s="2" t="s">
        <v>125</v>
      </c>
      <c r="C791" s="2" t="s">
        <v>155</v>
      </c>
      <c r="D791" s="2">
        <v>-0.73343871510208902</v>
      </c>
    </row>
    <row r="792" spans="2:4" x14ac:dyDescent="0.2">
      <c r="B792" s="2" t="s">
        <v>125</v>
      </c>
      <c r="C792" s="2" t="s">
        <v>138</v>
      </c>
      <c r="D792" s="2">
        <v>0.77680942399354103</v>
      </c>
    </row>
    <row r="793" spans="2:4" x14ac:dyDescent="0.2">
      <c r="B793" s="2" t="s">
        <v>125</v>
      </c>
      <c r="C793" s="2" t="s">
        <v>139</v>
      </c>
      <c r="D793" s="2">
        <v>0.83673365888104601</v>
      </c>
    </row>
    <row r="794" spans="2:4" x14ac:dyDescent="0.2">
      <c r="B794" s="2" t="s">
        <v>125</v>
      </c>
      <c r="C794" s="2" t="s">
        <v>140</v>
      </c>
      <c r="D794" s="2">
        <v>0.77987711948207605</v>
      </c>
    </row>
    <row r="795" spans="2:4" x14ac:dyDescent="0.2">
      <c r="B795" s="2" t="s">
        <v>125</v>
      </c>
      <c r="C795" s="2" t="s">
        <v>141</v>
      </c>
      <c r="D795" s="2">
        <v>0.80886012793151796</v>
      </c>
    </row>
    <row r="796" spans="2:4" x14ac:dyDescent="0.2">
      <c r="B796" s="2" t="s">
        <v>125</v>
      </c>
      <c r="C796" s="2" t="s">
        <v>142</v>
      </c>
      <c r="D796" s="2">
        <v>-0.87675965679373502</v>
      </c>
    </row>
    <row r="797" spans="2:4" x14ac:dyDescent="0.2">
      <c r="B797" s="2" t="s">
        <v>125</v>
      </c>
      <c r="C797" s="2" t="s">
        <v>143</v>
      </c>
      <c r="D797" s="2">
        <v>0.811197394067528</v>
      </c>
    </row>
    <row r="798" spans="2:4" x14ac:dyDescent="0.2">
      <c r="B798" s="2" t="s">
        <v>126</v>
      </c>
      <c r="C798" s="2" t="s">
        <v>127</v>
      </c>
      <c r="D798" s="2">
        <v>-0.84874975585157497</v>
      </c>
    </row>
    <row r="799" spans="2:4" x14ac:dyDescent="0.2">
      <c r="B799" s="2" t="s">
        <v>126</v>
      </c>
      <c r="C799" s="2" t="s">
        <v>128</v>
      </c>
      <c r="D799" s="2">
        <v>-0.79368371936813797</v>
      </c>
    </row>
    <row r="800" spans="2:4" x14ac:dyDescent="0.2">
      <c r="B800" s="2" t="s">
        <v>126</v>
      </c>
      <c r="C800" s="2" t="s">
        <v>129</v>
      </c>
      <c r="D800" s="2">
        <v>-0.62811854185680405</v>
      </c>
    </row>
    <row r="801" spans="2:4" x14ac:dyDescent="0.2">
      <c r="B801" s="2" t="s">
        <v>126</v>
      </c>
      <c r="C801" s="2" t="s">
        <v>131</v>
      </c>
      <c r="D801" s="2">
        <v>-0.78454988896326505</v>
      </c>
    </row>
    <row r="802" spans="2:4" x14ac:dyDescent="0.2">
      <c r="B802" s="2" t="s">
        <v>126</v>
      </c>
      <c r="C802" s="2" t="s">
        <v>132</v>
      </c>
      <c r="D802" s="2">
        <v>-0.72281400228676396</v>
      </c>
    </row>
    <row r="803" spans="2:4" x14ac:dyDescent="0.2">
      <c r="B803" s="2" t="s">
        <v>126</v>
      </c>
      <c r="C803" s="2" t="s">
        <v>133</v>
      </c>
      <c r="D803" s="2">
        <v>-0.752892621361408</v>
      </c>
    </row>
    <row r="804" spans="2:4" x14ac:dyDescent="0.2">
      <c r="B804" s="2" t="s">
        <v>126</v>
      </c>
      <c r="C804" s="2" t="s">
        <v>135</v>
      </c>
      <c r="D804" s="2">
        <v>-0.74564146566260503</v>
      </c>
    </row>
    <row r="805" spans="2:4" x14ac:dyDescent="0.2">
      <c r="B805" s="2" t="s">
        <v>126</v>
      </c>
      <c r="C805" s="2" t="s">
        <v>146</v>
      </c>
      <c r="D805" s="2">
        <v>-0.66885956425216897</v>
      </c>
    </row>
    <row r="806" spans="2:4" x14ac:dyDescent="0.2">
      <c r="B806" s="2" t="s">
        <v>126</v>
      </c>
      <c r="C806" s="2" t="s">
        <v>137</v>
      </c>
      <c r="D806" s="2">
        <v>-0.80687522277790502</v>
      </c>
    </row>
    <row r="807" spans="2:4" x14ac:dyDescent="0.2">
      <c r="B807" s="2" t="s">
        <v>126</v>
      </c>
      <c r="C807" s="2" t="s">
        <v>138</v>
      </c>
      <c r="D807" s="2">
        <v>-0.86524519900119201</v>
      </c>
    </row>
    <row r="808" spans="2:4" x14ac:dyDescent="0.2">
      <c r="B808" s="2" t="s">
        <v>126</v>
      </c>
      <c r="C808" s="2" t="s">
        <v>139</v>
      </c>
      <c r="D808" s="2">
        <v>-0.78727468326827899</v>
      </c>
    </row>
    <row r="809" spans="2:4" x14ac:dyDescent="0.2">
      <c r="B809" s="2" t="s">
        <v>126</v>
      </c>
      <c r="C809" s="2" t="s">
        <v>140</v>
      </c>
      <c r="D809" s="2">
        <v>-0.68203079473693196</v>
      </c>
    </row>
    <row r="810" spans="2:4" x14ac:dyDescent="0.2">
      <c r="B810" s="2" t="s">
        <v>126</v>
      </c>
      <c r="C810" s="2" t="s">
        <v>141</v>
      </c>
      <c r="D810" s="2">
        <v>-0.81585882411599897</v>
      </c>
    </row>
    <row r="811" spans="2:4" x14ac:dyDescent="0.2">
      <c r="B811" s="2" t="s">
        <v>126</v>
      </c>
      <c r="C811" s="2" t="s">
        <v>143</v>
      </c>
      <c r="D811" s="2">
        <v>-0.63746431719896501</v>
      </c>
    </row>
    <row r="812" spans="2:4" x14ac:dyDescent="0.2">
      <c r="B812" s="2" t="s">
        <v>127</v>
      </c>
      <c r="C812" s="2" t="s">
        <v>128</v>
      </c>
      <c r="D812" s="2">
        <v>0.99071413282195397</v>
      </c>
    </row>
    <row r="813" spans="2:4" x14ac:dyDescent="0.2">
      <c r="B813" s="2" t="s">
        <v>127</v>
      </c>
      <c r="C813" s="2" t="s">
        <v>129</v>
      </c>
      <c r="D813" s="2">
        <v>0.77784486398334896</v>
      </c>
    </row>
    <row r="814" spans="2:4" x14ac:dyDescent="0.2">
      <c r="B814" s="2" t="s">
        <v>127</v>
      </c>
      <c r="C814" s="2" t="s">
        <v>131</v>
      </c>
      <c r="D814" s="2">
        <v>0.96875858779085999</v>
      </c>
    </row>
    <row r="815" spans="2:4" x14ac:dyDescent="0.2">
      <c r="B815" s="2" t="s">
        <v>127</v>
      </c>
      <c r="C815" s="2" t="s">
        <v>132</v>
      </c>
      <c r="D815" s="2">
        <v>0.91021011904889204</v>
      </c>
    </row>
    <row r="816" spans="2:4" x14ac:dyDescent="0.2">
      <c r="B816" s="2" t="s">
        <v>127</v>
      </c>
      <c r="C816" s="2" t="s">
        <v>133</v>
      </c>
      <c r="D816" s="2">
        <v>0.95394735834032096</v>
      </c>
    </row>
    <row r="817" spans="2:4" x14ac:dyDescent="0.2">
      <c r="B817" s="2" t="s">
        <v>127</v>
      </c>
      <c r="C817" s="2" t="s">
        <v>152</v>
      </c>
      <c r="D817" s="2">
        <v>0.73650398179725496</v>
      </c>
    </row>
    <row r="818" spans="2:4" x14ac:dyDescent="0.2">
      <c r="B818" s="2" t="s">
        <v>127</v>
      </c>
      <c r="C818" s="2" t="s">
        <v>135</v>
      </c>
      <c r="D818" s="2">
        <v>0.80892328640960698</v>
      </c>
    </row>
    <row r="819" spans="2:4" x14ac:dyDescent="0.2">
      <c r="B819" s="2" t="s">
        <v>127</v>
      </c>
      <c r="C819" s="2" t="s">
        <v>136</v>
      </c>
      <c r="D819" s="2">
        <v>-0.71650693889661698</v>
      </c>
    </row>
    <row r="820" spans="2:4" x14ac:dyDescent="0.2">
      <c r="B820" s="2" t="s">
        <v>127</v>
      </c>
      <c r="C820" s="2" t="s">
        <v>137</v>
      </c>
      <c r="D820" s="2">
        <v>0.71879298978601103</v>
      </c>
    </row>
    <row r="821" spans="2:4" x14ac:dyDescent="0.2">
      <c r="B821" s="2" t="s">
        <v>127</v>
      </c>
      <c r="C821" s="2" t="s">
        <v>138</v>
      </c>
      <c r="D821" s="2">
        <v>0.93677875116539</v>
      </c>
    </row>
    <row r="822" spans="2:4" x14ac:dyDescent="0.2">
      <c r="B822" s="2" t="s">
        <v>127</v>
      </c>
      <c r="C822" s="2" t="s">
        <v>139</v>
      </c>
      <c r="D822" s="2">
        <v>0.94151870064169796</v>
      </c>
    </row>
    <row r="823" spans="2:4" x14ac:dyDescent="0.2">
      <c r="B823" s="2" t="s">
        <v>127</v>
      </c>
      <c r="C823" s="2" t="s">
        <v>140</v>
      </c>
      <c r="D823" s="2">
        <v>0.78520268096436596</v>
      </c>
    </row>
    <row r="824" spans="2:4" x14ac:dyDescent="0.2">
      <c r="B824" s="2" t="s">
        <v>127</v>
      </c>
      <c r="C824" s="2" t="s">
        <v>141</v>
      </c>
      <c r="D824" s="2">
        <v>0.96665910766392704</v>
      </c>
    </row>
    <row r="825" spans="2:4" x14ac:dyDescent="0.2">
      <c r="B825" s="2" t="s">
        <v>127</v>
      </c>
      <c r="C825" s="2" t="s">
        <v>142</v>
      </c>
      <c r="D825" s="2">
        <v>-0.71170688061273302</v>
      </c>
    </row>
    <row r="826" spans="2:4" x14ac:dyDescent="0.2">
      <c r="B826" s="2" t="s">
        <v>127</v>
      </c>
      <c r="C826" s="2" t="s">
        <v>143</v>
      </c>
      <c r="D826" s="2">
        <v>0.77222988375548296</v>
      </c>
    </row>
    <row r="827" spans="2:4" x14ac:dyDescent="0.2">
      <c r="B827" s="2" t="s">
        <v>127</v>
      </c>
      <c r="C827" s="2" t="s">
        <v>159</v>
      </c>
      <c r="D827" s="2">
        <v>-0.65724713636128995</v>
      </c>
    </row>
    <row r="828" spans="2:4" x14ac:dyDescent="0.2">
      <c r="B828" s="2" t="s">
        <v>128</v>
      </c>
      <c r="C828" s="2" t="s">
        <v>129</v>
      </c>
      <c r="D828" s="2">
        <v>0.75333349387274495</v>
      </c>
    </row>
    <row r="829" spans="2:4" x14ac:dyDescent="0.2">
      <c r="B829" s="2" t="s">
        <v>128</v>
      </c>
      <c r="C829" s="2" t="s">
        <v>131</v>
      </c>
      <c r="D829" s="2">
        <v>0.96155435684919</v>
      </c>
    </row>
    <row r="830" spans="2:4" x14ac:dyDescent="0.2">
      <c r="B830" s="2" t="s">
        <v>128</v>
      </c>
      <c r="C830" s="2" t="s">
        <v>132</v>
      </c>
      <c r="D830" s="2">
        <v>0.89232266533462401</v>
      </c>
    </row>
    <row r="831" spans="2:4" x14ac:dyDescent="0.2">
      <c r="B831" s="2" t="s">
        <v>128</v>
      </c>
      <c r="C831" s="2" t="s">
        <v>151</v>
      </c>
      <c r="D831" s="2">
        <v>-0.62602739482765002</v>
      </c>
    </row>
    <row r="832" spans="2:4" x14ac:dyDescent="0.2">
      <c r="B832" s="2" t="s">
        <v>128</v>
      </c>
      <c r="C832" s="2" t="s">
        <v>133</v>
      </c>
      <c r="D832" s="2">
        <v>0.95124870982174503</v>
      </c>
    </row>
    <row r="833" spans="2:4" x14ac:dyDescent="0.2">
      <c r="B833" s="2" t="s">
        <v>128</v>
      </c>
      <c r="C833" s="2" t="s">
        <v>152</v>
      </c>
      <c r="D833" s="2">
        <v>0.79399819969963503</v>
      </c>
    </row>
    <row r="834" spans="2:4" x14ac:dyDescent="0.2">
      <c r="B834" s="2" t="s">
        <v>128</v>
      </c>
      <c r="C834" s="2" t="s">
        <v>135</v>
      </c>
      <c r="D834" s="2">
        <v>0.77270376851539102</v>
      </c>
    </row>
    <row r="835" spans="2:4" x14ac:dyDescent="0.2">
      <c r="B835" s="2" t="s">
        <v>128</v>
      </c>
      <c r="C835" s="2" t="s">
        <v>136</v>
      </c>
      <c r="D835" s="2">
        <v>-0.76461959812392599</v>
      </c>
    </row>
    <row r="836" spans="2:4" x14ac:dyDescent="0.2">
      <c r="B836" s="2" t="s">
        <v>128</v>
      </c>
      <c r="C836" s="2" t="s">
        <v>137</v>
      </c>
      <c r="D836" s="2">
        <v>0.62538567680533996</v>
      </c>
    </row>
    <row r="837" spans="2:4" x14ac:dyDescent="0.2">
      <c r="B837" s="2" t="s">
        <v>128</v>
      </c>
      <c r="C837" s="2" t="s">
        <v>138</v>
      </c>
      <c r="D837" s="2">
        <v>0.90674170069286197</v>
      </c>
    </row>
    <row r="838" spans="2:4" x14ac:dyDescent="0.2">
      <c r="B838" s="2" t="s">
        <v>128</v>
      </c>
      <c r="C838" s="2" t="s">
        <v>139</v>
      </c>
      <c r="D838" s="2">
        <v>0.91882186394009602</v>
      </c>
    </row>
    <row r="839" spans="2:4" x14ac:dyDescent="0.2">
      <c r="B839" s="2" t="s">
        <v>128</v>
      </c>
      <c r="C839" s="2" t="s">
        <v>140</v>
      </c>
      <c r="D839" s="2">
        <v>0.73000295345143695</v>
      </c>
    </row>
    <row r="840" spans="2:4" x14ac:dyDescent="0.2">
      <c r="B840" s="2" t="s">
        <v>128</v>
      </c>
      <c r="C840" s="2" t="s">
        <v>141</v>
      </c>
      <c r="D840" s="2">
        <v>0.95792864228437502</v>
      </c>
    </row>
    <row r="841" spans="2:4" x14ac:dyDescent="0.2">
      <c r="B841" s="2" t="s">
        <v>128</v>
      </c>
      <c r="C841" s="2" t="s">
        <v>142</v>
      </c>
      <c r="D841" s="2">
        <v>-0.762193614157052</v>
      </c>
    </row>
    <row r="842" spans="2:4" x14ac:dyDescent="0.2">
      <c r="B842" s="2" t="s">
        <v>128</v>
      </c>
      <c r="C842" s="2" t="s">
        <v>143</v>
      </c>
      <c r="D842" s="2">
        <v>0.73453213510510995</v>
      </c>
    </row>
    <row r="843" spans="2:4" x14ac:dyDescent="0.2">
      <c r="B843" s="2" t="s">
        <v>128</v>
      </c>
      <c r="C843" s="2" t="s">
        <v>159</v>
      </c>
      <c r="D843" s="2">
        <v>-0.66560190289339305</v>
      </c>
    </row>
    <row r="844" spans="2:4" x14ac:dyDescent="0.2">
      <c r="B844" s="2" t="s">
        <v>129</v>
      </c>
      <c r="C844" s="2" t="s">
        <v>130</v>
      </c>
      <c r="D844" s="2">
        <v>0.87285234395068301</v>
      </c>
    </row>
    <row r="845" spans="2:4" x14ac:dyDescent="0.2">
      <c r="B845" s="2" t="s">
        <v>129</v>
      </c>
      <c r="C845" s="2" t="s">
        <v>131</v>
      </c>
      <c r="D845" s="2">
        <v>0.897879723695715</v>
      </c>
    </row>
    <row r="846" spans="2:4" x14ac:dyDescent="0.2">
      <c r="B846" s="2" t="s">
        <v>129</v>
      </c>
      <c r="C846" s="2" t="s">
        <v>132</v>
      </c>
      <c r="D846" s="2">
        <v>0.94730112758806495</v>
      </c>
    </row>
    <row r="847" spans="2:4" x14ac:dyDescent="0.2">
      <c r="B847" s="2" t="s">
        <v>129</v>
      </c>
      <c r="C847" s="2" t="s">
        <v>133</v>
      </c>
      <c r="D847" s="2">
        <v>0.85487527785308304</v>
      </c>
    </row>
    <row r="848" spans="2:4" x14ac:dyDescent="0.2">
      <c r="B848" s="2" t="s">
        <v>129</v>
      </c>
      <c r="C848" s="2" t="s">
        <v>134</v>
      </c>
      <c r="D848" s="2">
        <v>0.95089350033463704</v>
      </c>
    </row>
    <row r="849" spans="2:4" x14ac:dyDescent="0.2">
      <c r="B849" s="2" t="s">
        <v>129</v>
      </c>
      <c r="C849" s="2" t="s">
        <v>135</v>
      </c>
      <c r="D849" s="2">
        <v>0.96953912323351898</v>
      </c>
    </row>
    <row r="850" spans="2:4" x14ac:dyDescent="0.2">
      <c r="B850" s="2" t="s">
        <v>129</v>
      </c>
      <c r="C850" s="2" t="s">
        <v>136</v>
      </c>
      <c r="D850" s="2">
        <v>-0.842839068200954</v>
      </c>
    </row>
    <row r="851" spans="2:4" x14ac:dyDescent="0.2">
      <c r="B851" s="2" t="s">
        <v>129</v>
      </c>
      <c r="C851" s="2" t="s">
        <v>137</v>
      </c>
      <c r="D851" s="2">
        <v>0.80458618474661303</v>
      </c>
    </row>
    <row r="852" spans="2:4" x14ac:dyDescent="0.2">
      <c r="B852" s="2" t="s">
        <v>129</v>
      </c>
      <c r="C852" s="2" t="s">
        <v>138</v>
      </c>
      <c r="D852" s="2">
        <v>0.921001840083573</v>
      </c>
    </row>
    <row r="853" spans="2:4" x14ac:dyDescent="0.2">
      <c r="B853" s="2" t="s">
        <v>129</v>
      </c>
      <c r="C853" s="2" t="s">
        <v>139</v>
      </c>
      <c r="D853" s="2">
        <v>0.93820933425332198</v>
      </c>
    </row>
    <row r="854" spans="2:4" x14ac:dyDescent="0.2">
      <c r="B854" s="2" t="s">
        <v>129</v>
      </c>
      <c r="C854" s="2" t="s">
        <v>140</v>
      </c>
      <c r="D854" s="2">
        <v>0.95762385691415397</v>
      </c>
    </row>
    <row r="855" spans="2:4" x14ac:dyDescent="0.2">
      <c r="B855" s="2" t="s">
        <v>129</v>
      </c>
      <c r="C855" s="2" t="s">
        <v>141</v>
      </c>
      <c r="D855" s="2">
        <v>0.90034483616784799</v>
      </c>
    </row>
    <row r="856" spans="2:4" x14ac:dyDescent="0.2">
      <c r="B856" s="2" t="s">
        <v>129</v>
      </c>
      <c r="C856" s="2" t="s">
        <v>142</v>
      </c>
      <c r="D856" s="2">
        <v>-0.83294207071103299</v>
      </c>
    </row>
    <row r="857" spans="2:4" x14ac:dyDescent="0.2">
      <c r="B857" s="2" t="s">
        <v>129</v>
      </c>
      <c r="C857" s="2" t="s">
        <v>143</v>
      </c>
      <c r="D857" s="2">
        <v>0.98038770188212598</v>
      </c>
    </row>
    <row r="858" spans="2:4" x14ac:dyDescent="0.2">
      <c r="B858" s="2" t="s">
        <v>130</v>
      </c>
      <c r="C858" s="2" t="s">
        <v>158</v>
      </c>
      <c r="D858" s="2">
        <v>0.64289444706685495</v>
      </c>
    </row>
    <row r="859" spans="2:4" x14ac:dyDescent="0.2">
      <c r="B859" s="2" t="s">
        <v>130</v>
      </c>
      <c r="C859" s="2" t="s">
        <v>131</v>
      </c>
      <c r="D859" s="2">
        <v>0.73969153067947901</v>
      </c>
    </row>
    <row r="860" spans="2:4" x14ac:dyDescent="0.2">
      <c r="B860" s="2" t="s">
        <v>130</v>
      </c>
      <c r="C860" s="2" t="s">
        <v>132</v>
      </c>
      <c r="D860" s="2">
        <v>0.74215925109035596</v>
      </c>
    </row>
    <row r="861" spans="2:4" x14ac:dyDescent="0.2">
      <c r="B861" s="2" t="s">
        <v>130</v>
      </c>
      <c r="C861" s="2" t="s">
        <v>133</v>
      </c>
      <c r="D861" s="2">
        <v>0.75778867353326496</v>
      </c>
    </row>
    <row r="862" spans="2:4" x14ac:dyDescent="0.2">
      <c r="B862" s="2" t="s">
        <v>130</v>
      </c>
      <c r="C862" s="2" t="s">
        <v>134</v>
      </c>
      <c r="D862" s="2">
        <v>0.95311516379300698</v>
      </c>
    </row>
    <row r="863" spans="2:4" x14ac:dyDescent="0.2">
      <c r="B863" s="2" t="s">
        <v>130</v>
      </c>
      <c r="C863" s="2" t="s">
        <v>135</v>
      </c>
      <c r="D863" s="2">
        <v>0.83117622509104205</v>
      </c>
    </row>
    <row r="864" spans="2:4" x14ac:dyDescent="0.2">
      <c r="B864" s="2" t="s">
        <v>130</v>
      </c>
      <c r="C864" s="2" t="s">
        <v>136</v>
      </c>
      <c r="D864" s="2">
        <v>-0.79485048938847802</v>
      </c>
    </row>
    <row r="865" spans="2:4" x14ac:dyDescent="0.2">
      <c r="B865" s="2" t="s">
        <v>130</v>
      </c>
      <c r="C865" s="2" t="s">
        <v>155</v>
      </c>
      <c r="D865" s="2">
        <v>-0.77274034587500795</v>
      </c>
    </row>
    <row r="866" spans="2:4" x14ac:dyDescent="0.2">
      <c r="B866" s="2" t="s">
        <v>130</v>
      </c>
      <c r="C866" s="2" t="s">
        <v>138</v>
      </c>
      <c r="D866" s="2">
        <v>0.70057006530978605</v>
      </c>
    </row>
    <row r="867" spans="2:4" x14ac:dyDescent="0.2">
      <c r="B867" s="2" t="s">
        <v>130</v>
      </c>
      <c r="C867" s="2" t="s">
        <v>139</v>
      </c>
      <c r="D867" s="2">
        <v>0.77112638913104803</v>
      </c>
    </row>
    <row r="868" spans="2:4" x14ac:dyDescent="0.2">
      <c r="B868" s="2" t="s">
        <v>130</v>
      </c>
      <c r="C868" s="2" t="s">
        <v>140</v>
      </c>
      <c r="D868" s="2">
        <v>0.76996096148946003</v>
      </c>
    </row>
    <row r="869" spans="2:4" x14ac:dyDescent="0.2">
      <c r="B869" s="2" t="s">
        <v>130</v>
      </c>
      <c r="C869" s="2" t="s">
        <v>141</v>
      </c>
      <c r="D869" s="2">
        <v>0.71861614284016595</v>
      </c>
    </row>
    <row r="870" spans="2:4" x14ac:dyDescent="0.2">
      <c r="B870" s="2" t="s">
        <v>130</v>
      </c>
      <c r="C870" s="2" t="s">
        <v>142</v>
      </c>
      <c r="D870" s="2">
        <v>-0.81343517318953396</v>
      </c>
    </row>
    <row r="871" spans="2:4" x14ac:dyDescent="0.2">
      <c r="B871" s="2" t="s">
        <v>130</v>
      </c>
      <c r="C871" s="2" t="s">
        <v>143</v>
      </c>
      <c r="D871" s="2">
        <v>0.79177057398653505</v>
      </c>
    </row>
    <row r="872" spans="2:4" x14ac:dyDescent="0.2">
      <c r="B872" s="2" t="s">
        <v>158</v>
      </c>
      <c r="C872" s="2" t="s">
        <v>151</v>
      </c>
      <c r="D872" s="2">
        <v>0.74192057839119196</v>
      </c>
    </row>
    <row r="873" spans="2:4" x14ac:dyDescent="0.2">
      <c r="B873" s="2" t="s">
        <v>158</v>
      </c>
      <c r="C873" s="2" t="s">
        <v>134</v>
      </c>
      <c r="D873" s="2">
        <v>0.65875462926944095</v>
      </c>
    </row>
    <row r="874" spans="2:4" x14ac:dyDescent="0.2">
      <c r="B874" s="2" t="s">
        <v>131</v>
      </c>
      <c r="C874" s="2" t="s">
        <v>132</v>
      </c>
      <c r="D874" s="2">
        <v>0.960157406180985</v>
      </c>
    </row>
    <row r="875" spans="2:4" x14ac:dyDescent="0.2">
      <c r="B875" s="2" t="s">
        <v>131</v>
      </c>
      <c r="C875" s="2" t="s">
        <v>133</v>
      </c>
      <c r="D875" s="2">
        <v>0.98644684633063195</v>
      </c>
    </row>
    <row r="876" spans="2:4" x14ac:dyDescent="0.2">
      <c r="B876" s="2" t="s">
        <v>131</v>
      </c>
      <c r="C876" s="2" t="s">
        <v>134</v>
      </c>
      <c r="D876" s="2">
        <v>0.76678462741237097</v>
      </c>
    </row>
    <row r="877" spans="2:4" x14ac:dyDescent="0.2">
      <c r="B877" s="2" t="s">
        <v>131</v>
      </c>
      <c r="C877" s="2" t="s">
        <v>152</v>
      </c>
      <c r="D877" s="2">
        <v>0.64395645928135503</v>
      </c>
    </row>
    <row r="878" spans="2:4" x14ac:dyDescent="0.2">
      <c r="B878" s="2" t="s">
        <v>131</v>
      </c>
      <c r="C878" s="2" t="s">
        <v>135</v>
      </c>
      <c r="D878" s="2">
        <v>0.91157301963124804</v>
      </c>
    </row>
    <row r="879" spans="2:4" x14ac:dyDescent="0.2">
      <c r="B879" s="2" t="s">
        <v>131</v>
      </c>
      <c r="C879" s="2" t="s">
        <v>136</v>
      </c>
      <c r="D879" s="2">
        <v>-0.81902105913289802</v>
      </c>
    </row>
    <row r="880" spans="2:4" x14ac:dyDescent="0.2">
      <c r="B880" s="2" t="s">
        <v>131</v>
      </c>
      <c r="C880" s="2" t="s">
        <v>137</v>
      </c>
      <c r="D880" s="2">
        <v>0.746306554584795</v>
      </c>
    </row>
    <row r="881" spans="2:4" x14ac:dyDescent="0.2">
      <c r="B881" s="2" t="s">
        <v>131</v>
      </c>
      <c r="C881" s="2" t="s">
        <v>138</v>
      </c>
      <c r="D881" s="2">
        <v>0.97351375121255102</v>
      </c>
    </row>
    <row r="882" spans="2:4" x14ac:dyDescent="0.2">
      <c r="B882" s="2" t="s">
        <v>131</v>
      </c>
      <c r="C882" s="2" t="s">
        <v>139</v>
      </c>
      <c r="D882" s="2">
        <v>0.98993863950413996</v>
      </c>
    </row>
    <row r="883" spans="2:4" x14ac:dyDescent="0.2">
      <c r="B883" s="2" t="s">
        <v>131</v>
      </c>
      <c r="C883" s="2" t="s">
        <v>140</v>
      </c>
      <c r="D883" s="2">
        <v>0.86933295398870902</v>
      </c>
    </row>
    <row r="884" spans="2:4" x14ac:dyDescent="0.2">
      <c r="B884" s="2" t="s">
        <v>131</v>
      </c>
      <c r="C884" s="2" t="s">
        <v>141</v>
      </c>
      <c r="D884" s="2">
        <v>0.99666297570664397</v>
      </c>
    </row>
    <row r="885" spans="2:4" x14ac:dyDescent="0.2">
      <c r="B885" s="2" t="s">
        <v>131</v>
      </c>
      <c r="C885" s="2" t="s">
        <v>142</v>
      </c>
      <c r="D885" s="2">
        <v>-0.81628017272156395</v>
      </c>
    </row>
    <row r="886" spans="2:4" x14ac:dyDescent="0.2">
      <c r="B886" s="2" t="s">
        <v>131</v>
      </c>
      <c r="C886" s="2" t="s">
        <v>143</v>
      </c>
      <c r="D886" s="2">
        <v>0.87042766372486902</v>
      </c>
    </row>
    <row r="887" spans="2:4" x14ac:dyDescent="0.2">
      <c r="B887" s="2" t="s">
        <v>131</v>
      </c>
      <c r="C887" s="2" t="s">
        <v>159</v>
      </c>
      <c r="D887" s="2">
        <v>-0.60289804532479996</v>
      </c>
    </row>
    <row r="888" spans="2:4" x14ac:dyDescent="0.2">
      <c r="B888" s="2" t="s">
        <v>132</v>
      </c>
      <c r="C888" s="2" t="s">
        <v>133</v>
      </c>
      <c r="D888" s="2">
        <v>0.90842778997821805</v>
      </c>
    </row>
    <row r="889" spans="2:4" x14ac:dyDescent="0.2">
      <c r="B889" s="2" t="s">
        <v>132</v>
      </c>
      <c r="C889" s="2" t="s">
        <v>134</v>
      </c>
      <c r="D889" s="2">
        <v>0.80876126253860903</v>
      </c>
    </row>
    <row r="890" spans="2:4" x14ac:dyDescent="0.2">
      <c r="B890" s="2" t="s">
        <v>132</v>
      </c>
      <c r="C890" s="2" t="s">
        <v>135</v>
      </c>
      <c r="D890" s="2">
        <v>0.90929513655306604</v>
      </c>
    </row>
    <row r="891" spans="2:4" x14ac:dyDescent="0.2">
      <c r="B891" s="2" t="s">
        <v>132</v>
      </c>
      <c r="C891" s="2" t="s">
        <v>136</v>
      </c>
      <c r="D891" s="2">
        <v>-0.85448001975074905</v>
      </c>
    </row>
    <row r="892" spans="2:4" x14ac:dyDescent="0.2">
      <c r="B892" s="2" t="s">
        <v>132</v>
      </c>
      <c r="C892" s="2" t="s">
        <v>137</v>
      </c>
      <c r="D892" s="2">
        <v>0.806766880575709</v>
      </c>
    </row>
    <row r="893" spans="2:4" x14ac:dyDescent="0.2">
      <c r="B893" s="2" t="s">
        <v>132</v>
      </c>
      <c r="C893" s="2" t="s">
        <v>138</v>
      </c>
      <c r="D893" s="2">
        <v>0.952762211839007</v>
      </c>
    </row>
    <row r="894" spans="2:4" x14ac:dyDescent="0.2">
      <c r="B894" s="2" t="s">
        <v>132</v>
      </c>
      <c r="C894" s="2" t="s">
        <v>139</v>
      </c>
      <c r="D894" s="2">
        <v>0.97345690691307496</v>
      </c>
    </row>
    <row r="895" spans="2:4" x14ac:dyDescent="0.2">
      <c r="B895" s="2" t="s">
        <v>132</v>
      </c>
      <c r="C895" s="2" t="s">
        <v>140</v>
      </c>
      <c r="D895" s="2">
        <v>0.94064387403713801</v>
      </c>
    </row>
    <row r="896" spans="2:4" x14ac:dyDescent="0.2">
      <c r="B896" s="2" t="s">
        <v>132</v>
      </c>
      <c r="C896" s="2" t="s">
        <v>141</v>
      </c>
      <c r="D896" s="2">
        <v>0.95789663132554403</v>
      </c>
    </row>
    <row r="897" spans="2:4" x14ac:dyDescent="0.2">
      <c r="B897" s="2" t="s">
        <v>132</v>
      </c>
      <c r="C897" s="2" t="s">
        <v>142</v>
      </c>
      <c r="D897" s="2">
        <v>-0.84563167613394796</v>
      </c>
    </row>
    <row r="898" spans="2:4" x14ac:dyDescent="0.2">
      <c r="B898" s="2" t="s">
        <v>132</v>
      </c>
      <c r="C898" s="2" t="s">
        <v>143</v>
      </c>
      <c r="D898" s="2">
        <v>0.95918144774317404</v>
      </c>
    </row>
    <row r="899" spans="2:4" x14ac:dyDescent="0.2">
      <c r="B899" s="2" t="s">
        <v>151</v>
      </c>
      <c r="C899" s="2" t="s">
        <v>152</v>
      </c>
      <c r="D899" s="2">
        <v>-0.71899900303737396</v>
      </c>
    </row>
    <row r="900" spans="2:4" x14ac:dyDescent="0.2">
      <c r="B900" s="2" t="s">
        <v>151</v>
      </c>
      <c r="C900" s="2" t="s">
        <v>146</v>
      </c>
      <c r="D900" s="2">
        <v>-0.75660759979352499</v>
      </c>
    </row>
    <row r="901" spans="2:4" x14ac:dyDescent="0.2">
      <c r="B901" s="2" t="s">
        <v>133</v>
      </c>
      <c r="C901" s="2" t="s">
        <v>134</v>
      </c>
      <c r="D901" s="2">
        <v>0.74803443991705099</v>
      </c>
    </row>
    <row r="902" spans="2:4" x14ac:dyDescent="0.2">
      <c r="B902" s="2" t="s">
        <v>133</v>
      </c>
      <c r="C902" s="2" t="s">
        <v>152</v>
      </c>
      <c r="D902" s="2">
        <v>0.65575621611797497</v>
      </c>
    </row>
    <row r="903" spans="2:4" x14ac:dyDescent="0.2">
      <c r="B903" s="2" t="s">
        <v>133</v>
      </c>
      <c r="C903" s="2" t="s">
        <v>135</v>
      </c>
      <c r="D903" s="2">
        <v>0.88936656269050796</v>
      </c>
    </row>
    <row r="904" spans="2:4" x14ac:dyDescent="0.2">
      <c r="B904" s="2" t="s">
        <v>133</v>
      </c>
      <c r="C904" s="2" t="s">
        <v>136</v>
      </c>
      <c r="D904" s="2">
        <v>-0.77584370835861705</v>
      </c>
    </row>
    <row r="905" spans="2:4" x14ac:dyDescent="0.2">
      <c r="B905" s="2" t="s">
        <v>133</v>
      </c>
      <c r="C905" s="2" t="s">
        <v>137</v>
      </c>
      <c r="D905" s="2">
        <v>0.69231261201573302</v>
      </c>
    </row>
    <row r="906" spans="2:4" x14ac:dyDescent="0.2">
      <c r="B906" s="2" t="s">
        <v>133</v>
      </c>
      <c r="C906" s="2" t="s">
        <v>138</v>
      </c>
      <c r="D906" s="2">
        <v>0.94368306604266405</v>
      </c>
    </row>
    <row r="907" spans="2:4" x14ac:dyDescent="0.2">
      <c r="B907" s="2" t="s">
        <v>133</v>
      </c>
      <c r="C907" s="2" t="s">
        <v>139</v>
      </c>
      <c r="D907" s="2">
        <v>0.96947927435349701</v>
      </c>
    </row>
    <row r="908" spans="2:4" x14ac:dyDescent="0.2">
      <c r="B908" s="2" t="s">
        <v>133</v>
      </c>
      <c r="C908" s="2" t="s">
        <v>140</v>
      </c>
      <c r="D908" s="2">
        <v>0.81959700279944503</v>
      </c>
    </row>
    <row r="909" spans="2:4" x14ac:dyDescent="0.2">
      <c r="B909" s="2" t="s">
        <v>133</v>
      </c>
      <c r="C909" s="2" t="s">
        <v>141</v>
      </c>
      <c r="D909" s="2">
        <v>0.97680676704518699</v>
      </c>
    </row>
    <row r="910" spans="2:4" x14ac:dyDescent="0.2">
      <c r="B910" s="2" t="s">
        <v>133</v>
      </c>
      <c r="C910" s="2" t="s">
        <v>142</v>
      </c>
      <c r="D910" s="2">
        <v>-0.78179302180641697</v>
      </c>
    </row>
    <row r="911" spans="2:4" x14ac:dyDescent="0.2">
      <c r="B911" s="2" t="s">
        <v>133</v>
      </c>
      <c r="C911" s="2" t="s">
        <v>143</v>
      </c>
      <c r="D911" s="2">
        <v>0.80579563747914795</v>
      </c>
    </row>
    <row r="912" spans="2:4" x14ac:dyDescent="0.2">
      <c r="B912" s="2" t="s">
        <v>133</v>
      </c>
      <c r="C912" s="2" t="s">
        <v>159</v>
      </c>
      <c r="D912" s="2">
        <v>-0.70776248189625901</v>
      </c>
    </row>
    <row r="913" spans="2:4" x14ac:dyDescent="0.2">
      <c r="B913" s="2" t="s">
        <v>134</v>
      </c>
      <c r="C913" s="2" t="s">
        <v>135</v>
      </c>
      <c r="D913" s="2">
        <v>0.92204519907122395</v>
      </c>
    </row>
    <row r="914" spans="2:4" x14ac:dyDescent="0.2">
      <c r="B914" s="2" t="s">
        <v>134</v>
      </c>
      <c r="C914" s="2" t="s">
        <v>136</v>
      </c>
      <c r="D914" s="2">
        <v>-0.78254309960701895</v>
      </c>
    </row>
    <row r="915" spans="2:4" x14ac:dyDescent="0.2">
      <c r="B915" s="2" t="s">
        <v>134</v>
      </c>
      <c r="C915" s="2" t="s">
        <v>137</v>
      </c>
      <c r="D915" s="2">
        <v>0.68091744346716399</v>
      </c>
    </row>
    <row r="916" spans="2:4" x14ac:dyDescent="0.2">
      <c r="B916" s="2" t="s">
        <v>134</v>
      </c>
      <c r="C916" s="2" t="s">
        <v>138</v>
      </c>
      <c r="D916" s="2">
        <v>0.79133045862225104</v>
      </c>
    </row>
    <row r="917" spans="2:4" x14ac:dyDescent="0.2">
      <c r="B917" s="2" t="s">
        <v>134</v>
      </c>
      <c r="C917" s="2" t="s">
        <v>139</v>
      </c>
      <c r="D917" s="2">
        <v>0.82080231011371496</v>
      </c>
    </row>
    <row r="918" spans="2:4" x14ac:dyDescent="0.2">
      <c r="B918" s="2" t="s">
        <v>134</v>
      </c>
      <c r="C918" s="2" t="s">
        <v>140</v>
      </c>
      <c r="D918" s="2">
        <v>0.86966230706317704</v>
      </c>
    </row>
    <row r="919" spans="2:4" x14ac:dyDescent="0.2">
      <c r="B919" s="2" t="s">
        <v>134</v>
      </c>
      <c r="C919" s="2" t="s">
        <v>141</v>
      </c>
      <c r="D919" s="2">
        <v>0.76557895271058396</v>
      </c>
    </row>
    <row r="920" spans="2:4" x14ac:dyDescent="0.2">
      <c r="B920" s="2" t="s">
        <v>134</v>
      </c>
      <c r="C920" s="2" t="s">
        <v>142</v>
      </c>
      <c r="D920" s="2">
        <v>-0.78039653826294497</v>
      </c>
    </row>
    <row r="921" spans="2:4" x14ac:dyDescent="0.2">
      <c r="B921" s="2" t="s">
        <v>134</v>
      </c>
      <c r="C921" s="2" t="s">
        <v>143</v>
      </c>
      <c r="D921" s="2">
        <v>0.89472959113443096</v>
      </c>
    </row>
    <row r="922" spans="2:4" x14ac:dyDescent="0.2">
      <c r="B922" s="2" t="s">
        <v>152</v>
      </c>
      <c r="C922" s="2" t="s">
        <v>141</v>
      </c>
      <c r="D922" s="2">
        <v>0.61001400502151304</v>
      </c>
    </row>
    <row r="923" spans="2:4" x14ac:dyDescent="0.2">
      <c r="B923" s="2" t="s">
        <v>152</v>
      </c>
      <c r="C923" s="2" t="s">
        <v>142</v>
      </c>
      <c r="D923" s="2">
        <v>-0.61499684979239599</v>
      </c>
    </row>
    <row r="924" spans="2:4" x14ac:dyDescent="0.2">
      <c r="B924" s="2" t="s">
        <v>152</v>
      </c>
      <c r="C924" s="2" t="s">
        <v>159</v>
      </c>
      <c r="D924" s="2">
        <v>-0.70038828285323296</v>
      </c>
    </row>
    <row r="925" spans="2:4" x14ac:dyDescent="0.2">
      <c r="B925" s="2" t="s">
        <v>135</v>
      </c>
      <c r="C925" s="2" t="s">
        <v>136</v>
      </c>
      <c r="D925" s="2">
        <v>-0.74334859832032696</v>
      </c>
    </row>
    <row r="926" spans="2:4" x14ac:dyDescent="0.2">
      <c r="B926" s="2" t="s">
        <v>135</v>
      </c>
      <c r="C926" s="2" t="s">
        <v>137</v>
      </c>
      <c r="D926" s="2">
        <v>0.84433920919856498</v>
      </c>
    </row>
    <row r="927" spans="2:4" x14ac:dyDescent="0.2">
      <c r="B927" s="2" t="s">
        <v>135</v>
      </c>
      <c r="C927" s="2" t="s">
        <v>138</v>
      </c>
      <c r="D927" s="2">
        <v>0.95727171189656302</v>
      </c>
    </row>
    <row r="928" spans="2:4" x14ac:dyDescent="0.2">
      <c r="B928" s="2" t="s">
        <v>135</v>
      </c>
      <c r="C928" s="2" t="s">
        <v>139</v>
      </c>
      <c r="D928" s="2">
        <v>0.95033888141914902</v>
      </c>
    </row>
    <row r="929" spans="2:4" x14ac:dyDescent="0.2">
      <c r="B929" s="2" t="s">
        <v>135</v>
      </c>
      <c r="C929" s="2" t="s">
        <v>140</v>
      </c>
      <c r="D929" s="2">
        <v>0.93422549730042503</v>
      </c>
    </row>
    <row r="930" spans="2:4" x14ac:dyDescent="0.2">
      <c r="B930" s="2" t="s">
        <v>135</v>
      </c>
      <c r="C930" s="2" t="s">
        <v>141</v>
      </c>
      <c r="D930" s="2">
        <v>0.92139060830983099</v>
      </c>
    </row>
    <row r="931" spans="2:4" x14ac:dyDescent="0.2">
      <c r="B931" s="2" t="s">
        <v>135</v>
      </c>
      <c r="C931" s="2" t="s">
        <v>142</v>
      </c>
      <c r="D931" s="2">
        <v>-0.73034968533607802</v>
      </c>
    </row>
    <row r="932" spans="2:4" x14ac:dyDescent="0.2">
      <c r="B932" s="2" t="s">
        <v>135</v>
      </c>
      <c r="C932" s="2" t="s">
        <v>143</v>
      </c>
      <c r="D932" s="2">
        <v>0.92998108545420999</v>
      </c>
    </row>
    <row r="933" spans="2:4" x14ac:dyDescent="0.2">
      <c r="B933" s="2" t="s">
        <v>136</v>
      </c>
      <c r="C933" s="2" t="s">
        <v>138</v>
      </c>
      <c r="D933" s="2">
        <v>-0.74883913320318796</v>
      </c>
    </row>
    <row r="934" spans="2:4" x14ac:dyDescent="0.2">
      <c r="B934" s="2" t="s">
        <v>136</v>
      </c>
      <c r="C934" s="2" t="s">
        <v>139</v>
      </c>
      <c r="D934" s="2">
        <v>-0.79571694301641005</v>
      </c>
    </row>
    <row r="935" spans="2:4" x14ac:dyDescent="0.2">
      <c r="B935" s="2" t="s">
        <v>136</v>
      </c>
      <c r="C935" s="2" t="s">
        <v>140</v>
      </c>
      <c r="D935" s="2">
        <v>-0.70401955189323995</v>
      </c>
    </row>
    <row r="936" spans="2:4" x14ac:dyDescent="0.2">
      <c r="B936" s="2" t="s">
        <v>136</v>
      </c>
      <c r="C936" s="2" t="s">
        <v>141</v>
      </c>
      <c r="D936" s="2">
        <v>-0.81473577716541101</v>
      </c>
    </row>
    <row r="937" spans="2:4" x14ac:dyDescent="0.2">
      <c r="B937" s="2" t="s">
        <v>136</v>
      </c>
      <c r="C937" s="2" t="s">
        <v>142</v>
      </c>
      <c r="D937" s="2">
        <v>0.99718131889585104</v>
      </c>
    </row>
    <row r="938" spans="2:4" x14ac:dyDescent="0.2">
      <c r="B938" s="2" t="s">
        <v>136</v>
      </c>
      <c r="C938" s="2" t="s">
        <v>143</v>
      </c>
      <c r="D938" s="2">
        <v>-0.80118357004517704</v>
      </c>
    </row>
    <row r="939" spans="2:4" x14ac:dyDescent="0.2">
      <c r="B939" s="2" t="s">
        <v>146</v>
      </c>
      <c r="C939" s="2" t="s">
        <v>155</v>
      </c>
      <c r="D939" s="2">
        <v>0.62252211901751298</v>
      </c>
    </row>
    <row r="940" spans="2:4" x14ac:dyDescent="0.2">
      <c r="B940" s="2" t="s">
        <v>137</v>
      </c>
      <c r="C940" s="2" t="s">
        <v>138</v>
      </c>
      <c r="D940" s="2">
        <v>0.84841569504353298</v>
      </c>
    </row>
    <row r="941" spans="2:4" x14ac:dyDescent="0.2">
      <c r="B941" s="2" t="s">
        <v>137</v>
      </c>
      <c r="C941" s="2" t="s">
        <v>139</v>
      </c>
      <c r="D941" s="2">
        <v>0.82091602685481202</v>
      </c>
    </row>
    <row r="942" spans="2:4" x14ac:dyDescent="0.2">
      <c r="B942" s="2" t="s">
        <v>137</v>
      </c>
      <c r="C942" s="2" t="s">
        <v>140</v>
      </c>
      <c r="D942" s="2">
        <v>0.92168989327646</v>
      </c>
    </row>
    <row r="943" spans="2:4" x14ac:dyDescent="0.2">
      <c r="B943" s="2" t="s">
        <v>137</v>
      </c>
      <c r="C943" s="2" t="s">
        <v>141</v>
      </c>
      <c r="D943" s="2">
        <v>0.756300710168751</v>
      </c>
    </row>
    <row r="944" spans="2:4" x14ac:dyDescent="0.2">
      <c r="B944" s="2" t="s">
        <v>137</v>
      </c>
      <c r="C944" s="2" t="s">
        <v>143</v>
      </c>
      <c r="D944" s="2">
        <v>0.85950740860111896</v>
      </c>
    </row>
    <row r="945" spans="2:4" x14ac:dyDescent="0.2">
      <c r="B945" s="2" t="s">
        <v>138</v>
      </c>
      <c r="C945" s="2" t="s">
        <v>139</v>
      </c>
      <c r="D945" s="2">
        <v>0.98555400001049998</v>
      </c>
    </row>
    <row r="946" spans="2:4" x14ac:dyDescent="0.2">
      <c r="B946" s="2" t="s">
        <v>138</v>
      </c>
      <c r="C946" s="2" t="s">
        <v>140</v>
      </c>
      <c r="D946" s="2">
        <v>0.90968106180711095</v>
      </c>
    </row>
    <row r="947" spans="2:4" x14ac:dyDescent="0.2">
      <c r="B947" s="2" t="s">
        <v>138</v>
      </c>
      <c r="C947" s="2" t="s">
        <v>141</v>
      </c>
      <c r="D947" s="2">
        <v>0.98409848355748097</v>
      </c>
    </row>
    <row r="948" spans="2:4" x14ac:dyDescent="0.2">
      <c r="B948" s="2" t="s">
        <v>138</v>
      </c>
      <c r="C948" s="2" t="s">
        <v>142</v>
      </c>
      <c r="D948" s="2">
        <v>-0.73307662140429397</v>
      </c>
    </row>
    <row r="949" spans="2:4" x14ac:dyDescent="0.2">
      <c r="B949" s="2" t="s">
        <v>138</v>
      </c>
      <c r="C949" s="2" t="s">
        <v>143</v>
      </c>
      <c r="D949" s="2">
        <v>0.90326146331404</v>
      </c>
    </row>
    <row r="950" spans="2:4" x14ac:dyDescent="0.2">
      <c r="B950" s="2" t="s">
        <v>139</v>
      </c>
      <c r="C950" s="2" t="s">
        <v>140</v>
      </c>
      <c r="D950" s="2">
        <v>0.92791080044585506</v>
      </c>
    </row>
    <row r="951" spans="2:4" x14ac:dyDescent="0.2">
      <c r="B951" s="2" t="s">
        <v>139</v>
      </c>
      <c r="C951" s="2" t="s">
        <v>141</v>
      </c>
      <c r="D951" s="2">
        <v>0.98737383172967796</v>
      </c>
    </row>
    <row r="952" spans="2:4" x14ac:dyDescent="0.2">
      <c r="B952" s="2" t="s">
        <v>139</v>
      </c>
      <c r="C952" s="2" t="s">
        <v>142</v>
      </c>
      <c r="D952" s="2">
        <v>-0.79127985465428596</v>
      </c>
    </row>
    <row r="953" spans="2:4" x14ac:dyDescent="0.2">
      <c r="B953" s="2" t="s">
        <v>139</v>
      </c>
      <c r="C953" s="2" t="s">
        <v>143</v>
      </c>
      <c r="D953" s="2">
        <v>0.92031439813983396</v>
      </c>
    </row>
    <row r="954" spans="2:4" x14ac:dyDescent="0.2">
      <c r="B954" s="2" t="s">
        <v>140</v>
      </c>
      <c r="C954" s="2" t="s">
        <v>141</v>
      </c>
      <c r="D954" s="2">
        <v>0.86555529419631305</v>
      </c>
    </row>
    <row r="955" spans="2:4" x14ac:dyDescent="0.2">
      <c r="B955" s="2" t="s">
        <v>140</v>
      </c>
      <c r="C955" s="2" t="s">
        <v>142</v>
      </c>
      <c r="D955" s="2">
        <v>-0.69633753045659097</v>
      </c>
    </row>
    <row r="956" spans="2:4" x14ac:dyDescent="0.2">
      <c r="B956" s="2" t="s">
        <v>140</v>
      </c>
      <c r="C956" s="2" t="s">
        <v>143</v>
      </c>
      <c r="D956" s="2">
        <v>0.98291758720031497</v>
      </c>
    </row>
    <row r="957" spans="2:4" x14ac:dyDescent="0.2">
      <c r="B957" s="2" t="s">
        <v>141</v>
      </c>
      <c r="C957" s="2" t="s">
        <v>142</v>
      </c>
      <c r="D957" s="2">
        <v>-0.80615044234068101</v>
      </c>
    </row>
    <row r="958" spans="2:4" x14ac:dyDescent="0.2">
      <c r="B958" s="2" t="s">
        <v>141</v>
      </c>
      <c r="C958" s="2" t="s">
        <v>143</v>
      </c>
      <c r="D958" s="2">
        <v>0.87165653036947299</v>
      </c>
    </row>
    <row r="959" spans="2:4" x14ac:dyDescent="0.2">
      <c r="B959" s="2" t="s">
        <v>142</v>
      </c>
      <c r="C959" s="2" t="s">
        <v>143</v>
      </c>
      <c r="D959" s="2">
        <v>-0.78845403086614396</v>
      </c>
    </row>
    <row r="960" spans="2:4" x14ac:dyDescent="0.2">
      <c r="B960" s="3" t="s">
        <v>159</v>
      </c>
      <c r="C960" s="3" t="s">
        <v>155</v>
      </c>
      <c r="D960" s="3">
        <v>0.70382039172086697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2062C-6F8D-B04D-9633-7C7E1AB010B7}">
  <dimension ref="B2:D34"/>
  <sheetViews>
    <sheetView tabSelected="1" workbookViewId="0">
      <selection activeCell="F10" sqref="F10"/>
    </sheetView>
  </sheetViews>
  <sheetFormatPr baseColWidth="10" defaultRowHeight="16" x14ac:dyDescent="0.2"/>
  <cols>
    <col min="2" max="2" width="10.83203125" customWidth="1"/>
  </cols>
  <sheetData>
    <row r="2" spans="2:4" x14ac:dyDescent="0.2">
      <c r="B2" s="17" t="s">
        <v>355</v>
      </c>
    </row>
    <row r="3" spans="2:4" x14ac:dyDescent="0.2">
      <c r="B3" s="17" t="s">
        <v>356</v>
      </c>
    </row>
    <row r="4" spans="2:4" x14ac:dyDescent="0.2">
      <c r="B4" t="s">
        <v>25</v>
      </c>
      <c r="C4" t="s">
        <v>356</v>
      </c>
      <c r="D4" t="s">
        <v>2</v>
      </c>
    </row>
    <row r="5" spans="2:4" x14ac:dyDescent="0.2">
      <c r="B5" s="5" t="s">
        <v>33</v>
      </c>
      <c r="C5" s="20">
        <v>452.07477584894588</v>
      </c>
      <c r="D5" s="6" t="s">
        <v>12</v>
      </c>
    </row>
    <row r="6" spans="2:4" x14ac:dyDescent="0.2">
      <c r="B6" s="5" t="s">
        <v>33</v>
      </c>
      <c r="C6" s="21">
        <v>7.4237255629162009</v>
      </c>
      <c r="D6" s="6" t="s">
        <v>12</v>
      </c>
    </row>
    <row r="7" spans="2:4" x14ac:dyDescent="0.2">
      <c r="B7" s="5" t="s">
        <v>33</v>
      </c>
      <c r="C7" s="20">
        <v>333.75897806614421</v>
      </c>
      <c r="D7" s="6" t="s">
        <v>12</v>
      </c>
    </row>
    <row r="8" spans="2:4" x14ac:dyDescent="0.2">
      <c r="B8" s="5" t="s">
        <v>33</v>
      </c>
      <c r="C8" s="20">
        <v>2.4259302533386795</v>
      </c>
      <c r="D8" t="s">
        <v>7</v>
      </c>
    </row>
    <row r="9" spans="2:4" x14ac:dyDescent="0.2">
      <c r="B9" s="5" t="s">
        <v>33</v>
      </c>
      <c r="C9" s="20">
        <v>7.2056465026046999</v>
      </c>
      <c r="D9" t="s">
        <v>7</v>
      </c>
    </row>
    <row r="10" spans="2:4" x14ac:dyDescent="0.2">
      <c r="B10" s="5" t="s">
        <v>33</v>
      </c>
      <c r="C10" s="22">
        <v>224.75723788427743</v>
      </c>
      <c r="D10" t="s">
        <v>7</v>
      </c>
    </row>
    <row r="11" spans="2:4" x14ac:dyDescent="0.2">
      <c r="B11" s="7" t="s">
        <v>32</v>
      </c>
      <c r="C11" s="20">
        <v>74.910277053499996</v>
      </c>
      <c r="D11" s="6" t="s">
        <v>12</v>
      </c>
    </row>
    <row r="12" spans="2:4" x14ac:dyDescent="0.2">
      <c r="B12" s="7" t="s">
        <v>32</v>
      </c>
      <c r="C12" s="21">
        <v>266.33621701485328</v>
      </c>
      <c r="D12" s="6" t="s">
        <v>12</v>
      </c>
    </row>
    <row r="13" spans="2:4" x14ac:dyDescent="0.2">
      <c r="B13" s="7" t="s">
        <v>32</v>
      </c>
      <c r="C13" s="21">
        <v>197.56323875607436</v>
      </c>
      <c r="D13" s="6" t="s">
        <v>12</v>
      </c>
    </row>
    <row r="14" spans="2:4" x14ac:dyDescent="0.2">
      <c r="B14" s="7" t="s">
        <v>32</v>
      </c>
      <c r="C14" s="23">
        <v>124.18297709721223</v>
      </c>
      <c r="D14" t="s">
        <v>7</v>
      </c>
    </row>
    <row r="15" spans="2:4" x14ac:dyDescent="0.2">
      <c r="B15" s="7" t="s">
        <v>32</v>
      </c>
      <c r="C15" s="20">
        <v>163.62424466162582</v>
      </c>
      <c r="D15" t="s">
        <v>7</v>
      </c>
    </row>
    <row r="16" spans="2:4" x14ac:dyDescent="0.2">
      <c r="B16" s="7" t="s">
        <v>32</v>
      </c>
      <c r="C16" s="21">
        <v>87.951859539495402</v>
      </c>
      <c r="D16" t="s">
        <v>7</v>
      </c>
    </row>
    <row r="17" spans="2:4" x14ac:dyDescent="0.2">
      <c r="B17" s="7" t="s">
        <v>34</v>
      </c>
      <c r="C17">
        <v>17.442846259096854</v>
      </c>
      <c r="D17" s="6" t="s">
        <v>12</v>
      </c>
    </row>
    <row r="18" spans="2:4" x14ac:dyDescent="0.2">
      <c r="B18" s="7" t="s">
        <v>34</v>
      </c>
      <c r="C18">
        <v>38.163254222663419</v>
      </c>
      <c r="D18" s="6" t="s">
        <v>12</v>
      </c>
    </row>
    <row r="19" spans="2:4" x14ac:dyDescent="0.2">
      <c r="B19" s="7" t="s">
        <v>34</v>
      </c>
      <c r="C19">
        <v>42.703965248519872</v>
      </c>
      <c r="D19" s="6" t="s">
        <v>12</v>
      </c>
    </row>
    <row r="20" spans="2:4" x14ac:dyDescent="0.2">
      <c r="B20" s="7" t="s">
        <v>34</v>
      </c>
      <c r="C20">
        <v>3.5499749604727278</v>
      </c>
      <c r="D20" t="s">
        <v>7</v>
      </c>
    </row>
    <row r="21" spans="2:4" x14ac:dyDescent="0.2">
      <c r="B21" s="7" t="s">
        <v>34</v>
      </c>
      <c r="C21">
        <v>20.530824443867388</v>
      </c>
      <c r="D21" t="s">
        <v>7</v>
      </c>
    </row>
    <row r="22" spans="2:4" x14ac:dyDescent="0.2">
      <c r="B22" s="7" t="s">
        <v>34</v>
      </c>
      <c r="C22">
        <v>-0.81018175871626397</v>
      </c>
      <c r="D22" t="s">
        <v>7</v>
      </c>
    </row>
    <row r="23" spans="2:4" x14ac:dyDescent="0.2">
      <c r="B23" s="5" t="s">
        <v>36</v>
      </c>
      <c r="C23">
        <v>20.087582671307935</v>
      </c>
      <c r="D23" s="6" t="s">
        <v>12</v>
      </c>
    </row>
    <row r="24" spans="2:4" x14ac:dyDescent="0.2">
      <c r="B24" s="5" t="s">
        <v>36</v>
      </c>
      <c r="C24">
        <v>-2.0113670675292918</v>
      </c>
      <c r="D24" s="6" t="s">
        <v>12</v>
      </c>
    </row>
    <row r="25" spans="2:4" x14ac:dyDescent="0.2">
      <c r="B25" s="5" t="s">
        <v>36</v>
      </c>
      <c r="C25">
        <v>1.4909320474817189</v>
      </c>
      <c r="D25" s="6" t="s">
        <v>12</v>
      </c>
    </row>
    <row r="26" spans="2:4" x14ac:dyDescent="0.2">
      <c r="B26" s="5" t="s">
        <v>36</v>
      </c>
      <c r="C26">
        <v>-3.0575840233142317</v>
      </c>
      <c r="D26" t="s">
        <v>7</v>
      </c>
    </row>
    <row r="27" spans="2:4" x14ac:dyDescent="0.2">
      <c r="B27" s="5" t="s">
        <v>36</v>
      </c>
      <c r="C27">
        <v>-2.9157316628608969</v>
      </c>
      <c r="D27" t="s">
        <v>7</v>
      </c>
    </row>
    <row r="28" spans="2:4" x14ac:dyDescent="0.2">
      <c r="B28" s="5" t="s">
        <v>36</v>
      </c>
      <c r="C28">
        <v>2.3324492409508419</v>
      </c>
      <c r="D28" t="s">
        <v>7</v>
      </c>
    </row>
    <row r="29" spans="2:4" x14ac:dyDescent="0.2">
      <c r="B29" s="7" t="s">
        <v>35</v>
      </c>
      <c r="C29">
        <v>-0.63496142632203367</v>
      </c>
      <c r="D29" s="6" t="s">
        <v>12</v>
      </c>
    </row>
    <row r="30" spans="2:4" x14ac:dyDescent="0.2">
      <c r="B30" s="7" t="s">
        <v>35</v>
      </c>
      <c r="C30">
        <v>5.1131374114796344</v>
      </c>
      <c r="D30" s="6" t="s">
        <v>12</v>
      </c>
    </row>
    <row r="31" spans="2:4" x14ac:dyDescent="0.2">
      <c r="B31" s="7" t="s">
        <v>35</v>
      </c>
      <c r="C31">
        <v>3.9641152148727232</v>
      </c>
      <c r="D31" s="6" t="s">
        <v>12</v>
      </c>
    </row>
    <row r="32" spans="2:4" x14ac:dyDescent="0.2">
      <c r="B32" s="7" t="s">
        <v>35</v>
      </c>
      <c r="C32">
        <v>13.957543057734766</v>
      </c>
      <c r="D32" t="s">
        <v>7</v>
      </c>
    </row>
    <row r="33" spans="2:4" x14ac:dyDescent="0.2">
      <c r="B33" s="7" t="s">
        <v>35</v>
      </c>
      <c r="C33">
        <v>11.896261128931094</v>
      </c>
      <c r="D33" t="s">
        <v>7</v>
      </c>
    </row>
    <row r="34" spans="2:4" x14ac:dyDescent="0.2">
      <c r="B34" s="7" t="s">
        <v>35</v>
      </c>
      <c r="C34">
        <v>-0.92287685192160351</v>
      </c>
      <c r="D3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Fig. 1b</vt:lpstr>
      <vt:lpstr>Fig. 2a</vt:lpstr>
      <vt:lpstr>Fig. 3a</vt:lpstr>
      <vt:lpstr>Fig. 3b</vt:lpstr>
      <vt:lpstr>Fig. 3c</vt:lpstr>
      <vt:lpstr>Fig. 3d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2025-11-26T14:02:25Z</dcterms:created>
  <dcterms:modified xsi:type="dcterms:W3CDTF">2025-11-27T06:40:28Z</dcterms:modified>
</cp:coreProperties>
</file>