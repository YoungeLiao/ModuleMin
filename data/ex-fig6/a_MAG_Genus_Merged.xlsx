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6/"/>
    </mc:Choice>
  </mc:AlternateContent>
  <xr:revisionPtr revIDLastSave="0" documentId="13_ncr:1_{656DAF38-B88E-A94A-B2EE-2C9A1FC7F93A}" xr6:coauthVersionLast="47" xr6:coauthVersionMax="47" xr10:uidLastSave="{00000000-0000-0000-0000-000000000000}"/>
  <bookViews>
    <workbookView xWindow="1500" yWindow="620" windowWidth="25780" windowHeight="15440" xr2:uid="{00000000-000D-0000-FFFF-FFFF00000000}"/>
  </bookViews>
  <sheets>
    <sheet name="Sheet1" sheetId="1" r:id="rId1"/>
  </sheets>
  <definedNames>
    <definedName name="_xlnm._FilterDatabase" localSheetId="0" hidden="1">Sheet1!$A$1:$K$130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0" i="1" l="1"/>
  <c r="J118" i="1"/>
  <c r="J117" i="1"/>
  <c r="J101" i="1"/>
  <c r="J95" i="1"/>
  <c r="J94" i="1"/>
  <c r="J89" i="1"/>
  <c r="J80" i="1"/>
  <c r="J66" i="1"/>
  <c r="J65" i="1"/>
  <c r="J55" i="1"/>
</calcChain>
</file>

<file path=xl/sharedStrings.xml><?xml version="1.0" encoding="utf-8"?>
<sst xmlns="http://schemas.openxmlformats.org/spreadsheetml/2006/main" count="656" uniqueCount="297">
  <si>
    <t>MAG</t>
  </si>
  <si>
    <t>Genus</t>
  </si>
  <si>
    <t>n_CO2_fixation_pathways</t>
  </si>
  <si>
    <t>total_CO2_fixation_genes</t>
  </si>
  <si>
    <t>Initial</t>
  </si>
  <si>
    <t>Dark</t>
  </si>
  <si>
    <t>IR</t>
  </si>
  <si>
    <t>Genus_clean</t>
  </si>
  <si>
    <t>Phylum_clean</t>
  </si>
  <si>
    <t>IR_Gene_counts</t>
  </si>
  <si>
    <t>Genus.raw.MAG</t>
  </si>
  <si>
    <t>MAG73</t>
  </si>
  <si>
    <t>Marinobacter</t>
  </si>
  <si>
    <t>marinobacter</t>
  </si>
  <si>
    <t>pseudomonadota</t>
  </si>
  <si>
    <t>MAG94</t>
  </si>
  <si>
    <t>MAG10</t>
  </si>
  <si>
    <t>Halomonas</t>
  </si>
  <si>
    <t>halomonas</t>
  </si>
  <si>
    <t>MAG67</t>
  </si>
  <si>
    <t>MAG66</t>
  </si>
  <si>
    <t>Unclassified</t>
  </si>
  <si>
    <t>MAG104</t>
  </si>
  <si>
    <t>Wenzhouxiangella</t>
  </si>
  <si>
    <t>wenzhouxiangella</t>
  </si>
  <si>
    <t>MAG5</t>
  </si>
  <si>
    <t>MAG91</t>
  </si>
  <si>
    <t>Nitrosomonas</t>
  </si>
  <si>
    <t>nitrosomonas</t>
  </si>
  <si>
    <t>MAG16</t>
  </si>
  <si>
    <t>MAG72</t>
  </si>
  <si>
    <t>Idiomarina</t>
  </si>
  <si>
    <t>idiomarina</t>
  </si>
  <si>
    <t>MAG99</t>
  </si>
  <si>
    <t>MAG2</t>
  </si>
  <si>
    <t>MAG90</t>
  </si>
  <si>
    <t>Aliidiomarina</t>
  </si>
  <si>
    <t>aliidiomarina</t>
  </si>
  <si>
    <t>MAG87</t>
  </si>
  <si>
    <t>Pseudoalteromonas</t>
  </si>
  <si>
    <t>pseudoalteromonas</t>
  </si>
  <si>
    <t>MAG69</t>
  </si>
  <si>
    <t>Rhodanobacter</t>
  </si>
  <si>
    <t>rhodanobacter</t>
  </si>
  <si>
    <t>MAG79</t>
  </si>
  <si>
    <t>Planococcus</t>
  </si>
  <si>
    <t>planococcus</t>
  </si>
  <si>
    <t>bacillota</t>
  </si>
  <si>
    <t>MAG22</t>
  </si>
  <si>
    <t>Pseudidiomarina</t>
  </si>
  <si>
    <t>pseudidiomarina</t>
  </si>
  <si>
    <t>MAG117</t>
  </si>
  <si>
    <t>Aequorivita</t>
  </si>
  <si>
    <t>aequorivita</t>
  </si>
  <si>
    <t>bacteroidota</t>
  </si>
  <si>
    <t>MAG54</t>
  </si>
  <si>
    <t>Roseovarius</t>
  </si>
  <si>
    <t>roseovarius</t>
  </si>
  <si>
    <t>MAG44</t>
  </si>
  <si>
    <t>MAG56</t>
  </si>
  <si>
    <t>Nitratireductor</t>
  </si>
  <si>
    <t>nitratireductor</t>
  </si>
  <si>
    <t>MAG107</t>
  </si>
  <si>
    <t>Salaquimonas</t>
  </si>
  <si>
    <t>salaquimonas</t>
  </si>
  <si>
    <t>MAG52</t>
  </si>
  <si>
    <t>Altibacter</t>
  </si>
  <si>
    <t>altibacter</t>
  </si>
  <si>
    <t>MAG32</t>
  </si>
  <si>
    <t>Owenweeksia</t>
  </si>
  <si>
    <t>owenweeksia</t>
  </si>
  <si>
    <t>MAG57</t>
  </si>
  <si>
    <t>Vicingus</t>
  </si>
  <si>
    <t>vicingus</t>
  </si>
  <si>
    <t>MAG78</t>
  </si>
  <si>
    <t>Kangiella</t>
  </si>
  <si>
    <t>kangiella</t>
  </si>
  <si>
    <t>MAG8</t>
  </si>
  <si>
    <t>MAG18</t>
  </si>
  <si>
    <t>MAG93</t>
  </si>
  <si>
    <t>Luteithermobacter</t>
  </si>
  <si>
    <t>luteithermobacter</t>
  </si>
  <si>
    <t>MAG75</t>
  </si>
  <si>
    <t>Cognaticolwellia</t>
  </si>
  <si>
    <t>cognaticolwellia</t>
  </si>
  <si>
    <t>MAG124</t>
  </si>
  <si>
    <t>MAG119</t>
  </si>
  <si>
    <t>brh-c54</t>
  </si>
  <si>
    <t>BRH-c54</t>
  </si>
  <si>
    <t>MAG42</t>
  </si>
  <si>
    <t>MAG64</t>
  </si>
  <si>
    <t>MAG118</t>
  </si>
  <si>
    <t>Xanthomarina</t>
  </si>
  <si>
    <t>xanthomarina</t>
  </si>
  <si>
    <t>MAG14</t>
  </si>
  <si>
    <t>MAG37</t>
  </si>
  <si>
    <t>Muriiphilus</t>
  </si>
  <si>
    <t>muriiphilus</t>
  </si>
  <si>
    <t>MAG126</t>
  </si>
  <si>
    <t>BCD18</t>
  </si>
  <si>
    <t>bcd18</t>
  </si>
  <si>
    <t>MAG85</t>
  </si>
  <si>
    <t>unclassified</t>
  </si>
  <si>
    <t>actinomycetota</t>
  </si>
  <si>
    <t>MAG23</t>
  </si>
  <si>
    <t>JAIOJS01</t>
  </si>
  <si>
    <t>jaiojs01</t>
  </si>
  <si>
    <t>acidobacteriota</t>
  </si>
  <si>
    <t>MAG53</t>
  </si>
  <si>
    <t>MAG97</t>
  </si>
  <si>
    <t>IGN16</t>
  </si>
  <si>
    <t>ign16</t>
  </si>
  <si>
    <t>MAG77</t>
  </si>
  <si>
    <t>GCA-2746605</t>
  </si>
  <si>
    <t>gca-2746605</t>
  </si>
  <si>
    <t>MAG20</t>
  </si>
  <si>
    <t>planctomycetota</t>
  </si>
  <si>
    <t>MAG34</t>
  </si>
  <si>
    <t>verrucomicrobiota</t>
  </si>
  <si>
    <t>MAG127</t>
  </si>
  <si>
    <t>UBA10329</t>
  </si>
  <si>
    <t>uba10329</t>
  </si>
  <si>
    <t>MAG80</t>
  </si>
  <si>
    <t>UBA5794</t>
  </si>
  <si>
    <t>uba5794</t>
  </si>
  <si>
    <t>MAG11</t>
  </si>
  <si>
    <t>UBA5972</t>
  </si>
  <si>
    <t>uba5972</t>
  </si>
  <si>
    <t>MAG39</t>
  </si>
  <si>
    <t>Rhodohalobacter</t>
  </si>
  <si>
    <t>uba2664</t>
  </si>
  <si>
    <t>UBA2664</t>
  </si>
  <si>
    <t>MAG7</t>
  </si>
  <si>
    <t>MAG121</t>
  </si>
  <si>
    <t>MAG9</t>
  </si>
  <si>
    <t>Candidatus Scalindua</t>
  </si>
  <si>
    <t>SCAELEC01</t>
  </si>
  <si>
    <t>MAG43</t>
  </si>
  <si>
    <t>Pukyongia</t>
  </si>
  <si>
    <t>pukyongia</t>
  </si>
  <si>
    <t>MAG26</t>
  </si>
  <si>
    <t>c_Anaerolinea_g_GCA-2699125</t>
  </si>
  <si>
    <t>gca-2699125</t>
  </si>
  <si>
    <t>chloroflexota</t>
  </si>
  <si>
    <t>GCA-2699125</t>
  </si>
  <si>
    <t>MAG59</t>
  </si>
  <si>
    <t>JAGRMG01</t>
  </si>
  <si>
    <t>jagrmg01</t>
  </si>
  <si>
    <t>MAG103</t>
  </si>
  <si>
    <t>Marinicella</t>
  </si>
  <si>
    <t>marinicella</t>
  </si>
  <si>
    <t>MAG30</t>
  </si>
  <si>
    <t>CAJXSI01</t>
  </si>
  <si>
    <t>cajxsi01</t>
  </si>
  <si>
    <t>MAG38</t>
  </si>
  <si>
    <t>MAG36</t>
  </si>
  <si>
    <t>Membranicola</t>
  </si>
  <si>
    <t>membranicola</t>
  </si>
  <si>
    <t>MAG46</t>
  </si>
  <si>
    <t>JACKDJ01</t>
  </si>
  <si>
    <t>jackdj01</t>
  </si>
  <si>
    <t>myxococcota</t>
  </si>
  <si>
    <t>MAG76</t>
  </si>
  <si>
    <t>JAMLGJ01</t>
  </si>
  <si>
    <t>jamlgj01</t>
  </si>
  <si>
    <t>MAG115</t>
  </si>
  <si>
    <t>GCA-2712005</t>
  </si>
  <si>
    <t>gca-2712005</t>
  </si>
  <si>
    <t>bdellovibrionota</t>
  </si>
  <si>
    <t>MAG62</t>
  </si>
  <si>
    <t>MAG111</t>
  </si>
  <si>
    <t>c_Anaerolinea_g_Unclassified</t>
  </si>
  <si>
    <t>MAG3</t>
  </si>
  <si>
    <t>c_Anaerolinea_g_JAFGJA01</t>
  </si>
  <si>
    <t>jafgja01</t>
  </si>
  <si>
    <t>JAFGJA01</t>
  </si>
  <si>
    <t>MAG13</t>
  </si>
  <si>
    <t>JAKGBX01</t>
  </si>
  <si>
    <t>jakgbx01</t>
  </si>
  <si>
    <t>MAG17</t>
  </si>
  <si>
    <t>MAG1</t>
  </si>
  <si>
    <t>QQUK01</t>
  </si>
  <si>
    <t>qquk01</t>
  </si>
  <si>
    <t>zixibacteria</t>
  </si>
  <si>
    <t>MAG81</t>
  </si>
  <si>
    <t>MAG83</t>
  </si>
  <si>
    <t>MAG129</t>
  </si>
  <si>
    <t>MAG114</t>
  </si>
  <si>
    <t>MAG101</t>
  </si>
  <si>
    <t>j088</t>
  </si>
  <si>
    <t>MAG106</t>
  </si>
  <si>
    <t>MAG92</t>
  </si>
  <si>
    <t>QQUJ01</t>
  </si>
  <si>
    <t>qquj01</t>
  </si>
  <si>
    <t>MAG74</t>
  </si>
  <si>
    <t>MAG98</t>
  </si>
  <si>
    <t>IDS-52</t>
  </si>
  <si>
    <t>ids-52</t>
  </si>
  <si>
    <t>gemmatimonadota</t>
  </si>
  <si>
    <t>MAG19</t>
  </si>
  <si>
    <t>MAG55</t>
  </si>
  <si>
    <t>MAG113</t>
  </si>
  <si>
    <t>MAG84</t>
  </si>
  <si>
    <t>MAG128</t>
  </si>
  <si>
    <t>MAG120</t>
  </si>
  <si>
    <t>CAADGG01</t>
  </si>
  <si>
    <t>caadgg01</t>
  </si>
  <si>
    <t>myxococcota_a</t>
  </si>
  <si>
    <t>MAG88</t>
  </si>
  <si>
    <t>MAG4</t>
  </si>
  <si>
    <t>MAG61</t>
  </si>
  <si>
    <t>GCA-002729875</t>
  </si>
  <si>
    <t>gca-002729875</t>
  </si>
  <si>
    <t>MAG6</t>
  </si>
  <si>
    <t>JAGQSC01</t>
  </si>
  <si>
    <t>jagqsc01</t>
  </si>
  <si>
    <t>MAG71</t>
  </si>
  <si>
    <t>MAG31</t>
  </si>
  <si>
    <t>MAG86</t>
  </si>
  <si>
    <t>MAG108</t>
  </si>
  <si>
    <t>MAG24</t>
  </si>
  <si>
    <t>JAADJA01</t>
  </si>
  <si>
    <t>jaadja01</t>
  </si>
  <si>
    <t>MAG12</t>
  </si>
  <si>
    <t>MAG40</t>
  </si>
  <si>
    <t>MAG96</t>
  </si>
  <si>
    <t>MAG123</t>
  </si>
  <si>
    <t>JAGQWW01</t>
  </si>
  <si>
    <t>jagqww01</t>
  </si>
  <si>
    <t>MAG89</t>
  </si>
  <si>
    <t>UBA10348</t>
  </si>
  <si>
    <t>uba10348</t>
  </si>
  <si>
    <t>MAG48</t>
  </si>
  <si>
    <t>MAG58</t>
  </si>
  <si>
    <t>UBA1847</t>
  </si>
  <si>
    <t>uba1847</t>
  </si>
  <si>
    <t>MAG109</t>
  </si>
  <si>
    <t>MAG29</t>
  </si>
  <si>
    <t>Maribacter_A</t>
  </si>
  <si>
    <t>maribacter_a</t>
  </si>
  <si>
    <t>MAG25</t>
  </si>
  <si>
    <t>UBA3535</t>
  </si>
  <si>
    <t>uba3535</t>
  </si>
  <si>
    <t>MAG105</t>
  </si>
  <si>
    <t>patescibacteria</t>
  </si>
  <si>
    <t>MAG60</t>
  </si>
  <si>
    <t>JAHQVV01</t>
  </si>
  <si>
    <t>jahqvv01</t>
  </si>
  <si>
    <t>MAG122</t>
  </si>
  <si>
    <t>MAG41</t>
  </si>
  <si>
    <t>MAG50</t>
  </si>
  <si>
    <t>GCA-2687015</t>
  </si>
  <si>
    <t>gca-2687015</t>
  </si>
  <si>
    <t>MAG116</t>
  </si>
  <si>
    <t>Litorimonas</t>
  </si>
  <si>
    <t>litorimonas</t>
  </si>
  <si>
    <t>MAG82</t>
  </si>
  <si>
    <t>PGYR01</t>
  </si>
  <si>
    <t>pgyr01</t>
  </si>
  <si>
    <t>MAG65</t>
  </si>
  <si>
    <t>MAG33</t>
  </si>
  <si>
    <t>JAHDXH01</t>
  </si>
  <si>
    <t>jahdxh01</t>
  </si>
  <si>
    <t>MAG49</t>
  </si>
  <si>
    <t>MAG51</t>
  </si>
  <si>
    <t>OLB19</t>
  </si>
  <si>
    <t>olb19</t>
  </si>
  <si>
    <t>MAG112</t>
  </si>
  <si>
    <t>MAG28</t>
  </si>
  <si>
    <t>MAG15</t>
  </si>
  <si>
    <t>c_Anaerolinea_g_GCA-2746795</t>
  </si>
  <si>
    <t>gca-2746795</t>
  </si>
  <si>
    <t>GCA-2746795</t>
  </si>
  <si>
    <t>MAG70</t>
  </si>
  <si>
    <t>c_Anaerolinea_g_JACKCC01</t>
  </si>
  <si>
    <t>jackcc01</t>
  </si>
  <si>
    <t>JACKCC01</t>
  </si>
  <si>
    <t>MAG63</t>
  </si>
  <si>
    <t>MAG95</t>
  </si>
  <si>
    <t>MAG100</t>
  </si>
  <si>
    <t>Mesonia</t>
  </si>
  <si>
    <t>mesonia</t>
  </si>
  <si>
    <t>MAG68</t>
  </si>
  <si>
    <t>MAG102</t>
  </si>
  <si>
    <t>MAG110</t>
  </si>
  <si>
    <t>JACKHB01</t>
  </si>
  <si>
    <t>jackhb01</t>
  </si>
  <si>
    <t>MAG35</t>
  </si>
  <si>
    <t>MAG125</t>
  </si>
  <si>
    <t>MAG21</t>
  </si>
  <si>
    <t>SURF-28</t>
  </si>
  <si>
    <t>surf-28</t>
  </si>
  <si>
    <t>MAG27</t>
  </si>
  <si>
    <t>MAG47</t>
  </si>
  <si>
    <t>Aureliella</t>
  </si>
  <si>
    <t>aureliella</t>
  </si>
  <si>
    <t>MAG45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</si>
</sst>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zoomScaleNormal="66" workbookViewId="0">
      <selection activeCell="H8" sqref="A1:K130"/>
    </sheetView>
  </sheetViews>
  <sheetFormatPr baseColWidth="10" defaultColWidth="9" defaultRowHeight="15" x14ac:dyDescent="0.2"/>
  <cols>
    <col min="2" max="2" width="20.5" customWidth="1"/>
    <col min="4" max="4" width="12.1640625" customWidth="1"/>
    <col min="5" max="7" width="12.6640625" style="3"/>
    <col min="8" max="8" width="15.1640625" customWidth="1"/>
    <col min="9" max="9" width="17.5" customWidth="1"/>
    <col min="10" max="10" width="14.6640625" customWidth="1"/>
    <col min="11" max="11" width="24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2</v>
      </c>
      <c r="D2">
        <v>48</v>
      </c>
      <c r="E2" s="3">
        <v>0</v>
      </c>
      <c r="F2" s="3">
        <v>0.46664561999999998</v>
      </c>
      <c r="G2" s="3">
        <v>1.0190531229999999</v>
      </c>
      <c r="H2" t="s">
        <v>13</v>
      </c>
      <c r="I2" t="s">
        <v>14</v>
      </c>
      <c r="J2">
        <v>71</v>
      </c>
      <c r="K2" t="s">
        <v>12</v>
      </c>
    </row>
    <row r="3" spans="1:11" x14ac:dyDescent="0.2">
      <c r="A3" t="s">
        <v>15</v>
      </c>
      <c r="B3" t="s">
        <v>12</v>
      </c>
      <c r="C3">
        <v>2</v>
      </c>
      <c r="D3">
        <v>25</v>
      </c>
      <c r="E3" s="3">
        <v>5.7362379999999998E-2</v>
      </c>
      <c r="F3" s="3">
        <v>0.151852135</v>
      </c>
      <c r="G3" s="3">
        <v>0.43367267500000001</v>
      </c>
      <c r="H3" t="s">
        <v>13</v>
      </c>
      <c r="I3" t="s">
        <v>14</v>
      </c>
      <c r="J3">
        <v>71</v>
      </c>
      <c r="K3" t="s">
        <v>12</v>
      </c>
    </row>
    <row r="4" spans="1:11" x14ac:dyDescent="0.2">
      <c r="A4" t="s">
        <v>16</v>
      </c>
      <c r="B4" t="s">
        <v>17</v>
      </c>
      <c r="C4">
        <v>2</v>
      </c>
      <c r="D4">
        <v>47</v>
      </c>
      <c r="E4" s="3">
        <v>0</v>
      </c>
      <c r="F4" s="3">
        <v>0.54058181199999999</v>
      </c>
      <c r="G4" s="3">
        <v>0.76385924699999996</v>
      </c>
      <c r="H4" t="s">
        <v>18</v>
      </c>
      <c r="I4" t="s">
        <v>14</v>
      </c>
      <c r="J4">
        <v>56</v>
      </c>
      <c r="K4" t="s">
        <v>17</v>
      </c>
    </row>
    <row r="5" spans="1:11" x14ac:dyDescent="0.2">
      <c r="A5" t="s">
        <v>19</v>
      </c>
      <c r="B5" t="s">
        <v>17</v>
      </c>
      <c r="C5">
        <v>2</v>
      </c>
      <c r="D5">
        <v>30</v>
      </c>
      <c r="E5" s="3">
        <v>7.110822E-2</v>
      </c>
      <c r="F5" s="3">
        <v>0.12994715000000001</v>
      </c>
      <c r="G5" s="3">
        <v>0.42636632000000002</v>
      </c>
      <c r="H5" t="s">
        <v>18</v>
      </c>
      <c r="I5" t="s">
        <v>14</v>
      </c>
      <c r="J5">
        <v>56</v>
      </c>
      <c r="K5" t="s">
        <v>17</v>
      </c>
    </row>
    <row r="6" spans="1:11" x14ac:dyDescent="0.2">
      <c r="A6" t="s">
        <v>20</v>
      </c>
      <c r="B6" t="s">
        <v>17</v>
      </c>
      <c r="C6">
        <v>2</v>
      </c>
      <c r="D6">
        <v>36</v>
      </c>
      <c r="E6" s="3">
        <v>0</v>
      </c>
      <c r="F6" s="3">
        <v>0.27692482699999998</v>
      </c>
      <c r="G6" s="3">
        <v>0.53032621899999999</v>
      </c>
      <c r="H6" t="s">
        <v>18</v>
      </c>
      <c r="I6" t="s">
        <v>14</v>
      </c>
      <c r="J6">
        <v>56</v>
      </c>
      <c r="K6" t="s">
        <v>17</v>
      </c>
    </row>
    <row r="7" spans="1:11" x14ac:dyDescent="0.2">
      <c r="A7" t="s">
        <v>22</v>
      </c>
      <c r="B7" t="s">
        <v>23</v>
      </c>
      <c r="C7">
        <v>2</v>
      </c>
      <c r="D7">
        <v>42</v>
      </c>
      <c r="E7" s="3">
        <v>28.766300000000001</v>
      </c>
      <c r="F7" s="3">
        <v>19.651464000000001</v>
      </c>
      <c r="G7" s="3">
        <v>13.21778767</v>
      </c>
      <c r="H7" t="s">
        <v>24</v>
      </c>
      <c r="I7" t="s">
        <v>14</v>
      </c>
      <c r="J7">
        <v>34</v>
      </c>
      <c r="K7" t="s">
        <v>23</v>
      </c>
    </row>
    <row r="8" spans="1:11" x14ac:dyDescent="0.2">
      <c r="A8" t="s">
        <v>25</v>
      </c>
      <c r="B8" t="s">
        <v>23</v>
      </c>
      <c r="C8">
        <v>2</v>
      </c>
      <c r="D8">
        <v>43</v>
      </c>
      <c r="E8" s="3">
        <v>4.7064529999999998</v>
      </c>
      <c r="F8" s="3">
        <v>2.1510064999999998</v>
      </c>
      <c r="G8" s="3">
        <v>1.2401595000000001</v>
      </c>
      <c r="H8" t="s">
        <v>24</v>
      </c>
      <c r="I8" t="s">
        <v>14</v>
      </c>
      <c r="J8">
        <v>34</v>
      </c>
      <c r="K8" t="s">
        <v>23</v>
      </c>
    </row>
    <row r="9" spans="1:11" x14ac:dyDescent="0.2">
      <c r="A9" t="s">
        <v>26</v>
      </c>
      <c r="B9" t="s">
        <v>27</v>
      </c>
      <c r="C9">
        <v>2</v>
      </c>
      <c r="D9">
        <v>56</v>
      </c>
      <c r="E9" s="3">
        <v>1.2149627000000001</v>
      </c>
      <c r="F9" s="3">
        <v>1.202692533</v>
      </c>
      <c r="G9" s="3">
        <v>1.0904660399999999</v>
      </c>
      <c r="H9" t="s">
        <v>28</v>
      </c>
      <c r="I9" t="s">
        <v>14</v>
      </c>
      <c r="J9">
        <v>16</v>
      </c>
      <c r="K9" t="s">
        <v>27</v>
      </c>
    </row>
    <row r="10" spans="1:11" x14ac:dyDescent="0.2">
      <c r="A10" t="s">
        <v>29</v>
      </c>
      <c r="B10" t="s">
        <v>27</v>
      </c>
      <c r="C10">
        <v>2</v>
      </c>
      <c r="D10">
        <v>72</v>
      </c>
      <c r="E10" s="3">
        <v>1.8212235000000001</v>
      </c>
      <c r="F10" s="3">
        <v>1.0527485670000001</v>
      </c>
      <c r="G10" s="3">
        <v>0.88637670700000004</v>
      </c>
      <c r="H10" t="s">
        <v>28</v>
      </c>
      <c r="I10" t="s">
        <v>14</v>
      </c>
      <c r="J10">
        <v>16</v>
      </c>
      <c r="K10" t="s">
        <v>27</v>
      </c>
    </row>
    <row r="11" spans="1:11" x14ac:dyDescent="0.2">
      <c r="A11" t="s">
        <v>30</v>
      </c>
      <c r="B11" t="s">
        <v>31</v>
      </c>
      <c r="C11">
        <v>2</v>
      </c>
      <c r="D11">
        <v>34</v>
      </c>
      <c r="E11" s="3">
        <v>0.75680654999999997</v>
      </c>
      <c r="F11" s="3">
        <v>1.4166510329999999</v>
      </c>
      <c r="G11" s="3">
        <v>0.91424442299999997</v>
      </c>
      <c r="H11" t="s">
        <v>32</v>
      </c>
      <c r="I11" t="s">
        <v>14</v>
      </c>
      <c r="J11">
        <v>15</v>
      </c>
      <c r="K11" t="s">
        <v>31</v>
      </c>
    </row>
    <row r="12" spans="1:11" x14ac:dyDescent="0.2">
      <c r="A12" t="s">
        <v>33</v>
      </c>
      <c r="B12" t="s">
        <v>31</v>
      </c>
      <c r="C12">
        <v>2</v>
      </c>
      <c r="D12">
        <v>31</v>
      </c>
      <c r="E12" s="3">
        <v>0</v>
      </c>
      <c r="F12" s="3">
        <v>0.75229449699999995</v>
      </c>
      <c r="G12" s="3">
        <v>0.45624930000000002</v>
      </c>
      <c r="H12" t="s">
        <v>32</v>
      </c>
      <c r="I12" t="s">
        <v>14</v>
      </c>
      <c r="J12">
        <v>15</v>
      </c>
      <c r="K12" t="s">
        <v>31</v>
      </c>
    </row>
    <row r="13" spans="1:11" x14ac:dyDescent="0.2">
      <c r="A13" t="s">
        <v>34</v>
      </c>
      <c r="B13" t="s">
        <v>31</v>
      </c>
      <c r="C13">
        <v>2</v>
      </c>
      <c r="D13">
        <v>34</v>
      </c>
      <c r="E13" s="3">
        <v>0</v>
      </c>
      <c r="F13" s="3">
        <v>0.74108180000000001</v>
      </c>
      <c r="G13" s="3">
        <v>0.48327545300000002</v>
      </c>
      <c r="H13" t="s">
        <v>32</v>
      </c>
      <c r="I13" t="s">
        <v>14</v>
      </c>
      <c r="J13">
        <v>15</v>
      </c>
      <c r="K13" t="s">
        <v>31</v>
      </c>
    </row>
    <row r="14" spans="1:11" x14ac:dyDescent="0.2">
      <c r="A14" t="s">
        <v>35</v>
      </c>
      <c r="B14" t="s">
        <v>36</v>
      </c>
      <c r="C14">
        <v>2</v>
      </c>
      <c r="D14">
        <v>35</v>
      </c>
      <c r="E14" s="3">
        <v>0</v>
      </c>
      <c r="F14" s="3">
        <v>41.484501100000003</v>
      </c>
      <c r="G14" s="3">
        <v>83.75908167</v>
      </c>
      <c r="H14" t="s">
        <v>37</v>
      </c>
      <c r="I14" t="s">
        <v>14</v>
      </c>
      <c r="J14">
        <v>13</v>
      </c>
      <c r="K14" t="s">
        <v>36</v>
      </c>
    </row>
    <row r="15" spans="1:11" x14ac:dyDescent="0.2">
      <c r="A15" t="s">
        <v>38</v>
      </c>
      <c r="B15" t="s">
        <v>39</v>
      </c>
      <c r="C15">
        <v>2</v>
      </c>
      <c r="D15">
        <v>37</v>
      </c>
      <c r="E15" s="3">
        <v>8.6286249999999995</v>
      </c>
      <c r="F15" s="3">
        <v>0</v>
      </c>
      <c r="G15" s="3">
        <v>1.0095577E-2</v>
      </c>
      <c r="H15" t="s">
        <v>40</v>
      </c>
      <c r="I15" t="s">
        <v>14</v>
      </c>
      <c r="J15">
        <v>12</v>
      </c>
      <c r="K15" t="s">
        <v>39</v>
      </c>
    </row>
    <row r="16" spans="1:11" x14ac:dyDescent="0.2">
      <c r="A16" t="s">
        <v>41</v>
      </c>
      <c r="B16" t="s">
        <v>42</v>
      </c>
      <c r="C16">
        <v>2</v>
      </c>
      <c r="D16">
        <v>35</v>
      </c>
      <c r="E16" s="3">
        <v>1.0105257999999999</v>
      </c>
      <c r="F16" s="3">
        <v>4.4294624999999997E-2</v>
      </c>
      <c r="G16" s="3">
        <v>0</v>
      </c>
      <c r="H16" t="s">
        <v>43</v>
      </c>
      <c r="I16" t="s">
        <v>14</v>
      </c>
      <c r="J16">
        <v>10</v>
      </c>
      <c r="K16" t="s">
        <v>42</v>
      </c>
    </row>
    <row r="17" spans="1:11" x14ac:dyDescent="0.2">
      <c r="A17" t="s">
        <v>44</v>
      </c>
      <c r="B17" t="s">
        <v>45</v>
      </c>
      <c r="C17">
        <v>2</v>
      </c>
      <c r="D17">
        <v>41</v>
      </c>
      <c r="E17" s="3">
        <v>1.9765064000000001</v>
      </c>
      <c r="F17" s="3">
        <v>0</v>
      </c>
      <c r="G17" s="3">
        <v>0</v>
      </c>
      <c r="H17" t="s">
        <v>46</v>
      </c>
      <c r="I17" t="s">
        <v>47</v>
      </c>
      <c r="J17">
        <v>9</v>
      </c>
      <c r="K17" t="s">
        <v>45</v>
      </c>
    </row>
    <row r="18" spans="1:11" x14ac:dyDescent="0.2">
      <c r="A18" t="s">
        <v>48</v>
      </c>
      <c r="B18" t="s">
        <v>49</v>
      </c>
      <c r="C18">
        <v>2</v>
      </c>
      <c r="D18">
        <v>34</v>
      </c>
      <c r="E18" s="3">
        <v>6.2551919999999997E-2</v>
      </c>
      <c r="F18" s="3">
        <v>0.107330567</v>
      </c>
      <c r="G18" s="3">
        <v>0.52453572900000001</v>
      </c>
      <c r="H18" t="s">
        <v>50</v>
      </c>
      <c r="I18" t="s">
        <v>14</v>
      </c>
      <c r="J18">
        <v>9</v>
      </c>
      <c r="K18" t="s">
        <v>49</v>
      </c>
    </row>
    <row r="19" spans="1:11" x14ac:dyDescent="0.2">
      <c r="A19" t="s">
        <v>51</v>
      </c>
      <c r="B19" t="s">
        <v>52</v>
      </c>
      <c r="C19">
        <v>2</v>
      </c>
      <c r="D19">
        <v>41</v>
      </c>
      <c r="E19" s="3">
        <v>5.2080783999999998</v>
      </c>
      <c r="F19" s="3">
        <v>51.72901933</v>
      </c>
      <c r="G19" s="3">
        <v>34.550788330000003</v>
      </c>
      <c r="H19" t="s">
        <v>53</v>
      </c>
      <c r="I19" t="s">
        <v>54</v>
      </c>
      <c r="J19">
        <v>8</v>
      </c>
      <c r="K19" t="s">
        <v>52</v>
      </c>
    </row>
    <row r="20" spans="1:11" x14ac:dyDescent="0.2">
      <c r="A20" t="s">
        <v>55</v>
      </c>
      <c r="B20" t="s">
        <v>56</v>
      </c>
      <c r="C20">
        <v>2</v>
      </c>
      <c r="D20">
        <v>64</v>
      </c>
      <c r="E20" s="3">
        <v>3.1411056999999998</v>
      </c>
      <c r="F20" s="3">
        <v>1.3905868130000001</v>
      </c>
      <c r="G20" s="3">
        <v>1.4519490500000001</v>
      </c>
      <c r="H20" t="s">
        <v>57</v>
      </c>
      <c r="I20" t="s">
        <v>14</v>
      </c>
      <c r="J20">
        <v>8</v>
      </c>
      <c r="K20" t="s">
        <v>56</v>
      </c>
    </row>
    <row r="21" spans="1:11" x14ac:dyDescent="0.2">
      <c r="A21" t="s">
        <v>58</v>
      </c>
      <c r="B21" t="s">
        <v>52</v>
      </c>
      <c r="C21">
        <v>2</v>
      </c>
      <c r="D21">
        <v>36</v>
      </c>
      <c r="E21" s="3">
        <v>0.67221850000000005</v>
      </c>
      <c r="F21" s="3">
        <v>18.102076</v>
      </c>
      <c r="G21" s="3">
        <v>22.616089670000001</v>
      </c>
      <c r="H21" t="s">
        <v>53</v>
      </c>
      <c r="I21" t="s">
        <v>54</v>
      </c>
      <c r="J21">
        <v>8</v>
      </c>
      <c r="K21" t="s">
        <v>52</v>
      </c>
    </row>
    <row r="22" spans="1:11" x14ac:dyDescent="0.2">
      <c r="A22" t="s">
        <v>59</v>
      </c>
      <c r="B22" t="s">
        <v>60</v>
      </c>
      <c r="C22">
        <v>2</v>
      </c>
      <c r="D22">
        <v>39</v>
      </c>
      <c r="E22" s="3">
        <v>0.21406438999999999</v>
      </c>
      <c r="F22" s="3">
        <v>0.51159063699999996</v>
      </c>
      <c r="G22" s="3">
        <v>0.34794394000000001</v>
      </c>
      <c r="H22" t="s">
        <v>61</v>
      </c>
      <c r="I22" t="s">
        <v>14</v>
      </c>
      <c r="J22">
        <v>7</v>
      </c>
      <c r="K22" t="s">
        <v>60</v>
      </c>
    </row>
    <row r="23" spans="1:11" x14ac:dyDescent="0.2">
      <c r="A23" t="s">
        <v>62</v>
      </c>
      <c r="B23" t="s">
        <v>63</v>
      </c>
      <c r="C23">
        <v>2</v>
      </c>
      <c r="D23">
        <v>49</v>
      </c>
      <c r="E23" s="3">
        <v>2.3105392</v>
      </c>
      <c r="F23" s="3">
        <v>0.34099290999999998</v>
      </c>
      <c r="G23" s="3">
        <v>0.201479713</v>
      </c>
      <c r="H23" t="s">
        <v>64</v>
      </c>
      <c r="I23" t="s">
        <v>14</v>
      </c>
      <c r="J23">
        <v>6</v>
      </c>
      <c r="K23" t="s">
        <v>63</v>
      </c>
    </row>
    <row r="24" spans="1:11" x14ac:dyDescent="0.2">
      <c r="A24" t="s">
        <v>65</v>
      </c>
      <c r="B24" t="s">
        <v>66</v>
      </c>
      <c r="C24">
        <v>2</v>
      </c>
      <c r="D24">
        <v>37</v>
      </c>
      <c r="E24" s="3">
        <v>0.68707269999999998</v>
      </c>
      <c r="F24" s="3">
        <v>1.482629347</v>
      </c>
      <c r="G24" s="3">
        <v>1.022082207</v>
      </c>
      <c r="H24" t="s">
        <v>67</v>
      </c>
      <c r="I24" t="s">
        <v>54</v>
      </c>
      <c r="J24">
        <v>6</v>
      </c>
      <c r="K24" t="s">
        <v>66</v>
      </c>
    </row>
    <row r="25" spans="1:11" x14ac:dyDescent="0.2">
      <c r="A25" t="s">
        <v>68</v>
      </c>
      <c r="B25" t="s">
        <v>69</v>
      </c>
      <c r="C25">
        <v>2</v>
      </c>
      <c r="D25">
        <v>34</v>
      </c>
      <c r="E25" s="3">
        <v>0</v>
      </c>
      <c r="F25" s="3">
        <v>0.30378298300000001</v>
      </c>
      <c r="G25" s="3">
        <v>0.10414316699999999</v>
      </c>
      <c r="H25" t="s">
        <v>70</v>
      </c>
      <c r="I25" t="s">
        <v>54</v>
      </c>
      <c r="J25">
        <v>6</v>
      </c>
      <c r="K25" t="s">
        <v>69</v>
      </c>
    </row>
    <row r="26" spans="1:11" x14ac:dyDescent="0.2">
      <c r="A26" t="s">
        <v>71</v>
      </c>
      <c r="B26" t="s">
        <v>72</v>
      </c>
      <c r="C26">
        <v>2</v>
      </c>
      <c r="D26">
        <v>41</v>
      </c>
      <c r="E26" s="3">
        <v>0</v>
      </c>
      <c r="F26" s="3">
        <v>0.17159348699999999</v>
      </c>
      <c r="G26" s="3">
        <v>0.38642073700000001</v>
      </c>
      <c r="H26" t="s">
        <v>73</v>
      </c>
      <c r="I26" t="s">
        <v>54</v>
      </c>
      <c r="J26">
        <v>5</v>
      </c>
      <c r="K26" t="s">
        <v>72</v>
      </c>
    </row>
    <row r="27" spans="1:11" x14ac:dyDescent="0.2">
      <c r="A27" t="s">
        <v>74</v>
      </c>
      <c r="B27" t="s">
        <v>75</v>
      </c>
      <c r="C27">
        <v>2</v>
      </c>
      <c r="D27">
        <v>40</v>
      </c>
      <c r="E27" s="3">
        <v>0.60496013999999998</v>
      </c>
      <c r="F27" s="3">
        <v>3.0590764070000001</v>
      </c>
      <c r="G27" s="3">
        <v>0.63557317000000002</v>
      </c>
      <c r="H27" t="s">
        <v>76</v>
      </c>
      <c r="I27" t="s">
        <v>14</v>
      </c>
      <c r="J27">
        <v>5</v>
      </c>
      <c r="K27" t="s">
        <v>75</v>
      </c>
    </row>
    <row r="28" spans="1:11" x14ac:dyDescent="0.2">
      <c r="A28" t="s">
        <v>77</v>
      </c>
      <c r="B28" t="s">
        <v>75</v>
      </c>
      <c r="C28">
        <v>2</v>
      </c>
      <c r="D28">
        <v>35</v>
      </c>
      <c r="E28" s="3">
        <v>0.54041870000000003</v>
      </c>
      <c r="F28" s="3">
        <v>2.9618884329999999</v>
      </c>
      <c r="G28" s="3">
        <v>1.250421733</v>
      </c>
      <c r="H28" t="s">
        <v>76</v>
      </c>
      <c r="I28" t="s">
        <v>14</v>
      </c>
      <c r="J28">
        <v>5</v>
      </c>
      <c r="K28" t="s">
        <v>75</v>
      </c>
    </row>
    <row r="29" spans="1:11" x14ac:dyDescent="0.2">
      <c r="A29" t="s">
        <v>78</v>
      </c>
      <c r="B29" t="s">
        <v>75</v>
      </c>
      <c r="C29">
        <v>2</v>
      </c>
      <c r="D29">
        <v>36</v>
      </c>
      <c r="E29" s="3">
        <v>0.91295910000000002</v>
      </c>
      <c r="F29" s="3">
        <v>4.4074092670000002</v>
      </c>
      <c r="G29" s="3">
        <v>3.209459367</v>
      </c>
      <c r="H29" t="s">
        <v>76</v>
      </c>
      <c r="I29" t="s">
        <v>14</v>
      </c>
      <c r="J29">
        <v>5</v>
      </c>
      <c r="K29" t="s">
        <v>75</v>
      </c>
    </row>
    <row r="30" spans="1:11" x14ac:dyDescent="0.2">
      <c r="A30" t="s">
        <v>79</v>
      </c>
      <c r="B30" t="s">
        <v>80</v>
      </c>
      <c r="C30">
        <v>2</v>
      </c>
      <c r="D30">
        <v>52</v>
      </c>
      <c r="E30" s="3">
        <v>0.27313739999999997</v>
      </c>
      <c r="F30" s="3">
        <v>1.0654743</v>
      </c>
      <c r="G30" s="3">
        <v>1.9548832</v>
      </c>
      <c r="H30" t="s">
        <v>81</v>
      </c>
      <c r="I30" t="s">
        <v>14</v>
      </c>
      <c r="J30">
        <v>4</v>
      </c>
      <c r="K30" t="s">
        <v>80</v>
      </c>
    </row>
    <row r="31" spans="1:11" x14ac:dyDescent="0.2">
      <c r="A31" t="s">
        <v>82</v>
      </c>
      <c r="B31" t="s">
        <v>83</v>
      </c>
      <c r="C31">
        <v>2</v>
      </c>
      <c r="D31">
        <v>41</v>
      </c>
      <c r="E31" s="3">
        <v>1.583882</v>
      </c>
      <c r="F31" s="3">
        <v>0</v>
      </c>
      <c r="G31" s="3">
        <v>0</v>
      </c>
      <c r="H31" t="s">
        <v>84</v>
      </c>
      <c r="I31" t="s">
        <v>14</v>
      </c>
      <c r="J31">
        <v>4</v>
      </c>
      <c r="K31" t="s">
        <v>83</v>
      </c>
    </row>
    <row r="32" spans="1:11" x14ac:dyDescent="0.2">
      <c r="A32" t="s">
        <v>85</v>
      </c>
      <c r="B32" t="s">
        <v>80</v>
      </c>
      <c r="C32">
        <v>2</v>
      </c>
      <c r="D32">
        <v>48</v>
      </c>
      <c r="E32" s="3">
        <v>0.21797006999999999</v>
      </c>
      <c r="F32" s="3">
        <v>0.87556426700000001</v>
      </c>
      <c r="G32" s="3">
        <v>1.5662708329999999</v>
      </c>
      <c r="H32" t="s">
        <v>81</v>
      </c>
      <c r="I32" t="s">
        <v>14</v>
      </c>
      <c r="J32">
        <v>4</v>
      </c>
      <c r="K32" t="s">
        <v>80</v>
      </c>
    </row>
    <row r="33" spans="1:11" x14ac:dyDescent="0.2">
      <c r="A33" t="s">
        <v>86</v>
      </c>
      <c r="B33" t="s">
        <v>72</v>
      </c>
      <c r="C33">
        <v>2</v>
      </c>
      <c r="D33">
        <v>41</v>
      </c>
      <c r="E33" s="3">
        <v>0</v>
      </c>
      <c r="F33" s="3">
        <v>0.32657346700000001</v>
      </c>
      <c r="G33" s="3">
        <v>4.766242267</v>
      </c>
      <c r="H33" t="s">
        <v>87</v>
      </c>
      <c r="I33" t="s">
        <v>54</v>
      </c>
      <c r="K33" t="s">
        <v>88</v>
      </c>
    </row>
    <row r="34" spans="1:11" x14ac:dyDescent="0.2">
      <c r="A34" t="s">
        <v>89</v>
      </c>
      <c r="B34" t="s">
        <v>72</v>
      </c>
      <c r="C34">
        <v>2</v>
      </c>
      <c r="D34">
        <v>41</v>
      </c>
      <c r="E34" s="3">
        <v>0</v>
      </c>
      <c r="F34" s="3">
        <v>0.29498299</v>
      </c>
      <c r="G34" s="3">
        <v>5.4902014330000002</v>
      </c>
      <c r="H34" t="s">
        <v>87</v>
      </c>
      <c r="I34" t="s">
        <v>54</v>
      </c>
      <c r="K34" t="s">
        <v>88</v>
      </c>
    </row>
    <row r="35" spans="1:11" x14ac:dyDescent="0.2">
      <c r="A35" t="s">
        <v>90</v>
      </c>
      <c r="B35" t="s">
        <v>72</v>
      </c>
      <c r="C35">
        <v>2</v>
      </c>
      <c r="D35">
        <v>40</v>
      </c>
      <c r="E35" s="3">
        <v>0</v>
      </c>
      <c r="F35" s="3">
        <v>4.606322209</v>
      </c>
      <c r="G35" s="3">
        <v>4.3833311400000001</v>
      </c>
      <c r="H35" t="s">
        <v>87</v>
      </c>
      <c r="I35" t="s">
        <v>54</v>
      </c>
      <c r="K35" t="s">
        <v>88</v>
      </c>
    </row>
    <row r="36" spans="1:11" x14ac:dyDescent="0.2">
      <c r="A36" t="s">
        <v>91</v>
      </c>
      <c r="B36" t="s">
        <v>92</v>
      </c>
      <c r="C36">
        <v>2</v>
      </c>
      <c r="D36">
        <v>37</v>
      </c>
      <c r="E36" s="3">
        <v>0.71036089999999996</v>
      </c>
      <c r="F36" s="3">
        <v>11.306648969999999</v>
      </c>
      <c r="G36" s="3">
        <v>7.0363287129999996</v>
      </c>
      <c r="H36" t="s">
        <v>93</v>
      </c>
      <c r="I36" t="s">
        <v>54</v>
      </c>
      <c r="K36" t="s">
        <v>92</v>
      </c>
    </row>
    <row r="37" spans="1:11" x14ac:dyDescent="0.2">
      <c r="A37" t="s">
        <v>94</v>
      </c>
      <c r="B37" t="s">
        <v>72</v>
      </c>
      <c r="C37">
        <v>2</v>
      </c>
      <c r="D37">
        <v>42</v>
      </c>
      <c r="E37" s="3">
        <v>0</v>
      </c>
      <c r="F37" s="3">
        <v>0.81039633300000002</v>
      </c>
      <c r="G37" s="3">
        <v>0</v>
      </c>
      <c r="H37" t="s">
        <v>87</v>
      </c>
      <c r="I37" t="s">
        <v>54</v>
      </c>
      <c r="K37" t="s">
        <v>88</v>
      </c>
    </row>
    <row r="38" spans="1:11" x14ac:dyDescent="0.2">
      <c r="A38" t="s">
        <v>95</v>
      </c>
      <c r="B38" t="s">
        <v>96</v>
      </c>
      <c r="C38">
        <v>2</v>
      </c>
      <c r="D38">
        <v>65</v>
      </c>
      <c r="E38" s="3">
        <v>0.68887454000000004</v>
      </c>
      <c r="F38" s="3">
        <v>7.9676591329999997</v>
      </c>
      <c r="G38" s="3">
        <v>6.4974587670000004</v>
      </c>
      <c r="H38" t="s">
        <v>97</v>
      </c>
      <c r="I38" t="s">
        <v>14</v>
      </c>
      <c r="K38" t="s">
        <v>96</v>
      </c>
    </row>
    <row r="39" spans="1:11" x14ac:dyDescent="0.2">
      <c r="A39" t="s">
        <v>98</v>
      </c>
      <c r="B39" t="s">
        <v>99</v>
      </c>
      <c r="C39">
        <v>2</v>
      </c>
      <c r="D39">
        <v>42</v>
      </c>
      <c r="E39" s="3">
        <v>3.8052651999999999E-2</v>
      </c>
      <c r="F39" s="3">
        <v>5.2701131879999998</v>
      </c>
      <c r="G39" s="3">
        <v>3.5293038669999999</v>
      </c>
      <c r="H39" t="s">
        <v>100</v>
      </c>
      <c r="I39" t="s">
        <v>54</v>
      </c>
      <c r="K39" t="s">
        <v>99</v>
      </c>
    </row>
    <row r="40" spans="1:11" x14ac:dyDescent="0.2">
      <c r="A40" t="s">
        <v>101</v>
      </c>
      <c r="B40" t="s">
        <v>21</v>
      </c>
      <c r="C40">
        <v>2</v>
      </c>
      <c r="D40">
        <v>58</v>
      </c>
      <c r="E40" s="3">
        <v>10.487308000000001</v>
      </c>
      <c r="F40" s="3">
        <v>8.0143360670000003</v>
      </c>
      <c r="G40" s="3">
        <v>4.6248289329999999</v>
      </c>
      <c r="H40" t="s">
        <v>102</v>
      </c>
      <c r="I40" t="s">
        <v>103</v>
      </c>
      <c r="K40" t="s">
        <v>21</v>
      </c>
    </row>
    <row r="41" spans="1:11" x14ac:dyDescent="0.2">
      <c r="A41" t="s">
        <v>104</v>
      </c>
      <c r="B41" t="s">
        <v>105</v>
      </c>
      <c r="C41">
        <v>2</v>
      </c>
      <c r="D41">
        <v>49</v>
      </c>
      <c r="E41" s="3">
        <v>7.4947900000000001</v>
      </c>
      <c r="F41" s="3">
        <v>2.674642333</v>
      </c>
      <c r="G41" s="3">
        <v>3.1916264000000001</v>
      </c>
      <c r="H41" t="s">
        <v>106</v>
      </c>
      <c r="I41" t="s">
        <v>107</v>
      </c>
      <c r="K41" t="s">
        <v>105</v>
      </c>
    </row>
    <row r="42" spans="1:11" x14ac:dyDescent="0.2">
      <c r="A42" t="s">
        <v>108</v>
      </c>
      <c r="B42" t="s">
        <v>21</v>
      </c>
      <c r="C42">
        <v>2</v>
      </c>
      <c r="D42">
        <v>70</v>
      </c>
      <c r="E42" s="3">
        <v>0.26042393000000003</v>
      </c>
      <c r="F42" s="3">
        <v>2.5414780000000001</v>
      </c>
      <c r="G42" s="3">
        <v>1.9690883669999999</v>
      </c>
      <c r="H42" t="s">
        <v>102</v>
      </c>
      <c r="I42" t="s">
        <v>14</v>
      </c>
      <c r="K42" t="s">
        <v>21</v>
      </c>
    </row>
    <row r="43" spans="1:11" x14ac:dyDescent="0.2">
      <c r="A43" t="s">
        <v>109</v>
      </c>
      <c r="B43" t="s">
        <v>110</v>
      </c>
      <c r="C43">
        <v>2</v>
      </c>
      <c r="D43">
        <v>57</v>
      </c>
      <c r="E43" s="3">
        <v>10.502338</v>
      </c>
      <c r="F43" s="3">
        <v>3.4782580329999999</v>
      </c>
      <c r="G43" s="3">
        <v>3.4825090329999999</v>
      </c>
      <c r="H43" t="s">
        <v>111</v>
      </c>
      <c r="I43" t="s">
        <v>54</v>
      </c>
      <c r="K43" t="s">
        <v>110</v>
      </c>
    </row>
    <row r="44" spans="1:11" x14ac:dyDescent="0.2">
      <c r="A44" t="s">
        <v>112</v>
      </c>
      <c r="B44" t="s">
        <v>113</v>
      </c>
      <c r="C44">
        <v>2</v>
      </c>
      <c r="D44">
        <v>54</v>
      </c>
      <c r="E44" s="3">
        <v>2.5307512000000001</v>
      </c>
      <c r="F44" s="3">
        <v>1.7798319</v>
      </c>
      <c r="G44" s="3">
        <v>1.1004476999999999</v>
      </c>
      <c r="H44" t="s">
        <v>114</v>
      </c>
      <c r="I44" t="s">
        <v>54</v>
      </c>
      <c r="K44" t="s">
        <v>113</v>
      </c>
    </row>
    <row r="45" spans="1:11" x14ac:dyDescent="0.2">
      <c r="A45" t="s">
        <v>115</v>
      </c>
      <c r="B45" t="s">
        <v>21</v>
      </c>
      <c r="C45">
        <v>2</v>
      </c>
      <c r="D45">
        <v>37</v>
      </c>
      <c r="E45" s="3">
        <v>2.4805608000000001</v>
      </c>
      <c r="F45" s="3">
        <v>1.3347678329999999</v>
      </c>
      <c r="G45" s="3">
        <v>0.37959931299999999</v>
      </c>
      <c r="H45" t="s">
        <v>102</v>
      </c>
      <c r="I45" t="s">
        <v>116</v>
      </c>
      <c r="K45" t="s">
        <v>21</v>
      </c>
    </row>
    <row r="46" spans="1:11" x14ac:dyDescent="0.2">
      <c r="A46" t="s">
        <v>117</v>
      </c>
      <c r="B46" t="s">
        <v>21</v>
      </c>
      <c r="C46">
        <v>2</v>
      </c>
      <c r="D46">
        <v>38</v>
      </c>
      <c r="E46" s="3">
        <v>0</v>
      </c>
      <c r="F46" s="3">
        <v>0.45348174699999999</v>
      </c>
      <c r="G46" s="3">
        <v>0.73394333300000003</v>
      </c>
      <c r="H46" t="s">
        <v>102</v>
      </c>
      <c r="I46" t="s">
        <v>118</v>
      </c>
      <c r="K46" t="s">
        <v>21</v>
      </c>
    </row>
    <row r="47" spans="1:11" x14ac:dyDescent="0.2">
      <c r="A47" t="s">
        <v>119</v>
      </c>
      <c r="B47" t="s">
        <v>120</v>
      </c>
      <c r="C47">
        <v>2</v>
      </c>
      <c r="D47">
        <v>41</v>
      </c>
      <c r="E47" s="3">
        <v>0</v>
      </c>
      <c r="F47" s="3">
        <v>1.5953573329999999</v>
      </c>
      <c r="G47" s="3">
        <v>0.13622633300000001</v>
      </c>
      <c r="H47" t="s">
        <v>121</v>
      </c>
      <c r="I47" t="s">
        <v>54</v>
      </c>
      <c r="K47" t="s">
        <v>120</v>
      </c>
    </row>
    <row r="48" spans="1:11" x14ac:dyDescent="0.2">
      <c r="A48" t="s">
        <v>122</v>
      </c>
      <c r="B48" t="s">
        <v>123</v>
      </c>
      <c r="C48">
        <v>2</v>
      </c>
      <c r="D48">
        <v>47</v>
      </c>
      <c r="E48" s="3">
        <v>12.374243999999999</v>
      </c>
      <c r="F48" s="3">
        <v>5.0690932330000003</v>
      </c>
      <c r="G48" s="3">
        <v>3.1881360330000001</v>
      </c>
      <c r="H48" t="s">
        <v>124</v>
      </c>
      <c r="I48" t="s">
        <v>103</v>
      </c>
      <c r="K48" t="s">
        <v>123</v>
      </c>
    </row>
    <row r="49" spans="1:11" x14ac:dyDescent="0.2">
      <c r="A49" t="s">
        <v>125</v>
      </c>
      <c r="B49" t="s">
        <v>126</v>
      </c>
      <c r="C49">
        <v>2</v>
      </c>
      <c r="D49">
        <v>65</v>
      </c>
      <c r="E49" s="3">
        <v>0.72538709999999995</v>
      </c>
      <c r="F49" s="3">
        <v>1.17584384</v>
      </c>
      <c r="G49" s="3">
        <v>0.62856800700000004</v>
      </c>
      <c r="H49" t="s">
        <v>127</v>
      </c>
      <c r="I49" t="s">
        <v>14</v>
      </c>
      <c r="K49" t="s">
        <v>126</v>
      </c>
    </row>
    <row r="50" spans="1:11" x14ac:dyDescent="0.2">
      <c r="A50" t="s">
        <v>128</v>
      </c>
      <c r="B50" t="s">
        <v>129</v>
      </c>
      <c r="C50">
        <v>2</v>
      </c>
      <c r="D50">
        <v>46</v>
      </c>
      <c r="E50" s="3">
        <v>2.0222913999999999</v>
      </c>
      <c r="F50" s="3">
        <v>1.8884915</v>
      </c>
      <c r="G50" s="3">
        <v>3.277119533</v>
      </c>
      <c r="H50" t="s">
        <v>130</v>
      </c>
      <c r="I50" t="s">
        <v>54</v>
      </c>
      <c r="K50" t="s">
        <v>131</v>
      </c>
    </row>
    <row r="51" spans="1:11" x14ac:dyDescent="0.2">
      <c r="A51" t="s">
        <v>132</v>
      </c>
      <c r="B51" t="s">
        <v>21</v>
      </c>
      <c r="C51">
        <v>2</v>
      </c>
      <c r="D51">
        <v>54</v>
      </c>
      <c r="E51" s="3">
        <v>1.8003488000000001</v>
      </c>
      <c r="F51" s="3">
        <v>0.27350365999999998</v>
      </c>
      <c r="G51" s="3">
        <v>0.560384773</v>
      </c>
      <c r="H51" t="s">
        <v>102</v>
      </c>
      <c r="I51" t="s">
        <v>116</v>
      </c>
      <c r="K51" t="s">
        <v>21</v>
      </c>
    </row>
    <row r="52" spans="1:11" x14ac:dyDescent="0.2">
      <c r="A52" t="s">
        <v>133</v>
      </c>
      <c r="B52" t="s">
        <v>21</v>
      </c>
      <c r="C52">
        <v>2</v>
      </c>
      <c r="D52">
        <v>51</v>
      </c>
      <c r="E52" s="3">
        <v>6.7461890000000002</v>
      </c>
      <c r="F52" s="3">
        <v>0.17592276000000001</v>
      </c>
      <c r="G52" s="3">
        <v>0.14625587700000001</v>
      </c>
      <c r="H52" t="s">
        <v>102</v>
      </c>
      <c r="I52" t="s">
        <v>116</v>
      </c>
      <c r="K52" t="s">
        <v>21</v>
      </c>
    </row>
    <row r="53" spans="1:11" x14ac:dyDescent="0.2">
      <c r="A53" t="s">
        <v>134</v>
      </c>
      <c r="B53" t="s">
        <v>135</v>
      </c>
      <c r="C53">
        <v>2</v>
      </c>
      <c r="D53">
        <v>70</v>
      </c>
      <c r="E53" s="3">
        <v>37.040289999999999</v>
      </c>
      <c r="F53" s="3">
        <v>3.8926540670000001</v>
      </c>
      <c r="G53" s="3">
        <v>3.9232511329999999</v>
      </c>
      <c r="H53" t="s">
        <v>135</v>
      </c>
      <c r="I53" t="s">
        <v>116</v>
      </c>
      <c r="J53">
        <v>17</v>
      </c>
      <c r="K53" t="s">
        <v>136</v>
      </c>
    </row>
    <row r="54" spans="1:11" x14ac:dyDescent="0.2">
      <c r="A54" t="s">
        <v>137</v>
      </c>
      <c r="B54" t="s">
        <v>138</v>
      </c>
      <c r="C54">
        <v>2</v>
      </c>
      <c r="D54">
        <v>38</v>
      </c>
      <c r="E54" s="3">
        <v>10.662426</v>
      </c>
      <c r="F54" s="3">
        <v>11.602601529999999</v>
      </c>
      <c r="G54" s="3">
        <v>4.3286679330000002</v>
      </c>
      <c r="H54" t="s">
        <v>139</v>
      </c>
      <c r="I54" t="s">
        <v>54</v>
      </c>
      <c r="K54" t="s">
        <v>138</v>
      </c>
    </row>
    <row r="55" spans="1:11" ht="16" customHeight="1" x14ac:dyDescent="0.2">
      <c r="A55" t="s">
        <v>140</v>
      </c>
      <c r="B55" s="2" t="s">
        <v>141</v>
      </c>
      <c r="C55">
        <v>2</v>
      </c>
      <c r="D55">
        <v>63</v>
      </c>
      <c r="E55" s="3">
        <v>2.5361322999999998</v>
      </c>
      <c r="F55" s="3">
        <v>0.87297484000000003</v>
      </c>
      <c r="G55" s="3">
        <v>0.43559173299999998</v>
      </c>
      <c r="H55" t="s">
        <v>142</v>
      </c>
      <c r="I55" t="s">
        <v>143</v>
      </c>
      <c r="J55">
        <f>207/11</f>
        <v>18.818181818181817</v>
      </c>
      <c r="K55" t="s">
        <v>144</v>
      </c>
    </row>
    <row r="56" spans="1:11" x14ac:dyDescent="0.2">
      <c r="A56" t="s">
        <v>145</v>
      </c>
      <c r="B56" t="s">
        <v>146</v>
      </c>
      <c r="C56">
        <v>2</v>
      </c>
      <c r="D56">
        <v>78</v>
      </c>
      <c r="E56" s="3">
        <v>0.19607173999999999</v>
      </c>
      <c r="F56" s="3">
        <v>1.556796633</v>
      </c>
      <c r="G56" s="3">
        <v>1.532241</v>
      </c>
      <c r="H56" t="s">
        <v>147</v>
      </c>
      <c r="I56" t="s">
        <v>14</v>
      </c>
      <c r="K56" t="s">
        <v>146</v>
      </c>
    </row>
    <row r="57" spans="1:11" x14ac:dyDescent="0.2">
      <c r="A57" t="s">
        <v>148</v>
      </c>
      <c r="B57" t="s">
        <v>149</v>
      </c>
      <c r="C57">
        <v>2</v>
      </c>
      <c r="D57">
        <v>40</v>
      </c>
      <c r="E57" s="3">
        <v>5.9899006000000004</v>
      </c>
      <c r="F57" s="3">
        <v>36.752291329999998</v>
      </c>
      <c r="G57" s="3">
        <v>45.587904000000002</v>
      </c>
      <c r="H57" t="s">
        <v>150</v>
      </c>
      <c r="I57" t="s">
        <v>14</v>
      </c>
      <c r="K57" t="s">
        <v>149</v>
      </c>
    </row>
    <row r="58" spans="1:11" x14ac:dyDescent="0.2">
      <c r="A58" t="s">
        <v>151</v>
      </c>
      <c r="B58" t="s">
        <v>152</v>
      </c>
      <c r="C58">
        <v>2</v>
      </c>
      <c r="D58">
        <v>25</v>
      </c>
      <c r="E58" s="3">
        <v>0</v>
      </c>
      <c r="F58" s="3">
        <v>1.008623262</v>
      </c>
      <c r="G58" s="3">
        <v>0.47710059999999999</v>
      </c>
      <c r="H58" t="s">
        <v>153</v>
      </c>
      <c r="I58" t="s">
        <v>14</v>
      </c>
      <c r="K58" t="s">
        <v>152</v>
      </c>
    </row>
    <row r="59" spans="1:11" x14ac:dyDescent="0.2">
      <c r="A59" t="s">
        <v>154</v>
      </c>
      <c r="B59" t="s">
        <v>135</v>
      </c>
      <c r="C59">
        <v>2</v>
      </c>
      <c r="D59">
        <v>78</v>
      </c>
      <c r="E59" s="3">
        <v>19.195170999999998</v>
      </c>
      <c r="F59" s="3">
        <v>6.9170258330000003</v>
      </c>
      <c r="G59" s="3">
        <v>5.2926415000000002</v>
      </c>
      <c r="H59" t="s">
        <v>135</v>
      </c>
      <c r="I59" t="s">
        <v>116</v>
      </c>
      <c r="J59">
        <v>17</v>
      </c>
      <c r="K59" t="s">
        <v>136</v>
      </c>
    </row>
    <row r="60" spans="1:11" x14ac:dyDescent="0.2">
      <c r="A60" t="s">
        <v>155</v>
      </c>
      <c r="B60" t="s">
        <v>156</v>
      </c>
      <c r="C60">
        <v>2</v>
      </c>
      <c r="D60">
        <v>50</v>
      </c>
      <c r="E60" s="3">
        <v>0.33850330000000001</v>
      </c>
      <c r="F60" s="3">
        <v>0.68806493999999996</v>
      </c>
      <c r="G60" s="3">
        <v>0.67344352299999999</v>
      </c>
      <c r="H60" t="s">
        <v>157</v>
      </c>
      <c r="I60" t="s">
        <v>54</v>
      </c>
      <c r="K60" t="s">
        <v>156</v>
      </c>
    </row>
    <row r="61" spans="1:11" x14ac:dyDescent="0.2">
      <c r="A61" t="s">
        <v>158</v>
      </c>
      <c r="B61" t="s">
        <v>159</v>
      </c>
      <c r="C61">
        <v>2</v>
      </c>
      <c r="D61">
        <v>40</v>
      </c>
      <c r="E61" s="3">
        <v>0</v>
      </c>
      <c r="F61" s="3">
        <v>0.61134212200000004</v>
      </c>
      <c r="G61" s="3">
        <v>3.3417623999999999</v>
      </c>
      <c r="H61" t="s">
        <v>160</v>
      </c>
      <c r="I61" t="s">
        <v>161</v>
      </c>
      <c r="K61" t="s">
        <v>159</v>
      </c>
    </row>
    <row r="62" spans="1:11" x14ac:dyDescent="0.2">
      <c r="A62" t="s">
        <v>162</v>
      </c>
      <c r="B62" t="s">
        <v>163</v>
      </c>
      <c r="C62">
        <v>2</v>
      </c>
      <c r="D62">
        <v>56</v>
      </c>
      <c r="E62" s="3">
        <v>1.5068368999999999</v>
      </c>
      <c r="F62" s="3">
        <v>2.2288370500000001</v>
      </c>
      <c r="G62" s="3">
        <v>1.3338847570000001</v>
      </c>
      <c r="H62" t="s">
        <v>164</v>
      </c>
      <c r="I62" t="s">
        <v>103</v>
      </c>
      <c r="K62" t="s">
        <v>163</v>
      </c>
    </row>
    <row r="63" spans="1:11" x14ac:dyDescent="0.2">
      <c r="A63" t="s">
        <v>165</v>
      </c>
      <c r="B63" t="s">
        <v>166</v>
      </c>
      <c r="C63">
        <v>2</v>
      </c>
      <c r="D63">
        <v>44</v>
      </c>
      <c r="E63" s="3">
        <v>0</v>
      </c>
      <c r="F63" s="3">
        <v>0.118428397</v>
      </c>
      <c r="G63" s="3">
        <v>0.96740860699999998</v>
      </c>
      <c r="H63" t="s">
        <v>167</v>
      </c>
      <c r="I63" t="s">
        <v>168</v>
      </c>
      <c r="K63" t="s">
        <v>166</v>
      </c>
    </row>
    <row r="64" spans="1:11" x14ac:dyDescent="0.2">
      <c r="A64" t="s">
        <v>169</v>
      </c>
      <c r="B64" t="s">
        <v>149</v>
      </c>
      <c r="C64">
        <v>2</v>
      </c>
      <c r="D64">
        <v>40</v>
      </c>
      <c r="E64" s="3">
        <v>8.7588034999999995E-2</v>
      </c>
      <c r="F64" s="3">
        <v>1.390945133</v>
      </c>
      <c r="G64" s="3">
        <v>1.825743967</v>
      </c>
      <c r="H64" t="s">
        <v>150</v>
      </c>
      <c r="I64" t="s">
        <v>14</v>
      </c>
      <c r="K64" t="s">
        <v>149</v>
      </c>
    </row>
    <row r="65" spans="1:11" x14ac:dyDescent="0.2">
      <c r="A65" t="s">
        <v>170</v>
      </c>
      <c r="B65" t="s">
        <v>171</v>
      </c>
      <c r="C65">
        <v>2</v>
      </c>
      <c r="D65">
        <v>60</v>
      </c>
      <c r="E65" s="3">
        <v>3.0700628999999999</v>
      </c>
      <c r="F65" s="3">
        <v>0.161908095</v>
      </c>
      <c r="G65" s="3">
        <v>9.8834276999999998E-2</v>
      </c>
      <c r="H65" t="s">
        <v>102</v>
      </c>
      <c r="I65" t="s">
        <v>143</v>
      </c>
      <c r="J65">
        <f>(207+70)/11</f>
        <v>25.181818181818183</v>
      </c>
      <c r="K65" t="s">
        <v>21</v>
      </c>
    </row>
    <row r="66" spans="1:11" x14ac:dyDescent="0.2">
      <c r="A66" t="s">
        <v>172</v>
      </c>
      <c r="B66" t="s">
        <v>173</v>
      </c>
      <c r="C66">
        <v>2</v>
      </c>
      <c r="D66">
        <v>66</v>
      </c>
      <c r="E66" s="3">
        <v>1.1237457</v>
      </c>
      <c r="F66" s="3">
        <v>0.23566759000000001</v>
      </c>
      <c r="G66" s="3">
        <v>0.23574627000000001</v>
      </c>
      <c r="H66" t="s">
        <v>174</v>
      </c>
      <c r="I66" t="s">
        <v>143</v>
      </c>
      <c r="J66">
        <f>(207+70)/11</f>
        <v>25.181818181818183</v>
      </c>
      <c r="K66" t="s">
        <v>175</v>
      </c>
    </row>
    <row r="67" spans="1:11" x14ac:dyDescent="0.2">
      <c r="A67" t="s">
        <v>176</v>
      </c>
      <c r="B67" t="s">
        <v>177</v>
      </c>
      <c r="C67">
        <v>2</v>
      </c>
      <c r="D67">
        <v>60</v>
      </c>
      <c r="E67" s="3">
        <v>0.79223555000000001</v>
      </c>
      <c r="F67" s="3">
        <v>9.2606512330000008</v>
      </c>
      <c r="G67" s="3">
        <v>5.8298557669999997</v>
      </c>
      <c r="H67" t="s">
        <v>178</v>
      </c>
      <c r="I67" t="s">
        <v>14</v>
      </c>
      <c r="K67" t="s">
        <v>177</v>
      </c>
    </row>
    <row r="68" spans="1:11" x14ac:dyDescent="0.2">
      <c r="A68" t="s">
        <v>179</v>
      </c>
      <c r="B68" t="s">
        <v>123</v>
      </c>
      <c r="C68">
        <v>2</v>
      </c>
      <c r="D68">
        <v>66</v>
      </c>
      <c r="E68" s="3">
        <v>1.008095</v>
      </c>
      <c r="F68" s="3">
        <v>0.55247794699999997</v>
      </c>
      <c r="G68" s="3">
        <v>0.36048149000000002</v>
      </c>
      <c r="H68" t="s">
        <v>124</v>
      </c>
      <c r="I68" t="s">
        <v>103</v>
      </c>
      <c r="K68" t="s">
        <v>123</v>
      </c>
    </row>
    <row r="69" spans="1:11" x14ac:dyDescent="0.2">
      <c r="A69" t="s">
        <v>180</v>
      </c>
      <c r="B69" t="s">
        <v>181</v>
      </c>
      <c r="C69">
        <v>2</v>
      </c>
      <c r="D69">
        <v>65</v>
      </c>
      <c r="E69" s="3">
        <v>1.3398333</v>
      </c>
      <c r="F69" s="3">
        <v>0.120725867</v>
      </c>
      <c r="G69" s="3">
        <v>8.1392258999999995E-2</v>
      </c>
      <c r="H69" t="s">
        <v>182</v>
      </c>
      <c r="I69" t="s">
        <v>183</v>
      </c>
      <c r="K69" t="s">
        <v>181</v>
      </c>
    </row>
    <row r="70" spans="1:11" x14ac:dyDescent="0.2">
      <c r="A70" t="s">
        <v>184</v>
      </c>
      <c r="B70" t="s">
        <v>21</v>
      </c>
      <c r="C70">
        <v>2</v>
      </c>
      <c r="D70">
        <v>61</v>
      </c>
      <c r="E70" s="3">
        <v>2.1204945999999998</v>
      </c>
      <c r="F70" s="3">
        <v>0.329317527</v>
      </c>
      <c r="G70" s="3">
        <v>6.8868114999999994E-2</v>
      </c>
      <c r="H70" t="s">
        <v>102</v>
      </c>
      <c r="I70" t="s">
        <v>161</v>
      </c>
      <c r="K70" t="s">
        <v>21</v>
      </c>
    </row>
    <row r="71" spans="1:11" x14ac:dyDescent="0.2">
      <c r="A71" t="s">
        <v>185</v>
      </c>
      <c r="B71" t="s">
        <v>21</v>
      </c>
      <c r="C71">
        <v>2</v>
      </c>
      <c r="D71">
        <v>45</v>
      </c>
      <c r="E71" s="3">
        <v>0</v>
      </c>
      <c r="F71" s="3">
        <v>0.222138947</v>
      </c>
      <c r="G71" s="3">
        <v>0.44978600699999999</v>
      </c>
      <c r="H71" t="s">
        <v>102</v>
      </c>
      <c r="I71" t="s">
        <v>116</v>
      </c>
      <c r="K71" t="s">
        <v>21</v>
      </c>
    </row>
    <row r="72" spans="1:11" x14ac:dyDescent="0.2">
      <c r="A72" t="s">
        <v>186</v>
      </c>
      <c r="B72" t="s">
        <v>123</v>
      </c>
      <c r="C72">
        <v>2</v>
      </c>
      <c r="D72">
        <v>61</v>
      </c>
      <c r="E72" s="3">
        <v>1.0104605</v>
      </c>
      <c r="F72" s="3">
        <v>0.51979346999999998</v>
      </c>
      <c r="G72" s="3">
        <v>0.36892108000000001</v>
      </c>
      <c r="H72" t="s">
        <v>124</v>
      </c>
      <c r="I72" t="s">
        <v>103</v>
      </c>
      <c r="K72" t="s">
        <v>123</v>
      </c>
    </row>
    <row r="73" spans="1:11" x14ac:dyDescent="0.2">
      <c r="A73" t="s">
        <v>187</v>
      </c>
      <c r="B73" t="s">
        <v>149</v>
      </c>
      <c r="C73">
        <v>2</v>
      </c>
      <c r="D73">
        <v>51</v>
      </c>
      <c r="E73" s="3">
        <v>2.9146403000000001E-2</v>
      </c>
      <c r="F73" s="3">
        <v>0.46166425300000002</v>
      </c>
      <c r="G73" s="3">
        <v>0.79153061700000005</v>
      </c>
      <c r="H73" t="s">
        <v>150</v>
      </c>
      <c r="I73" t="s">
        <v>14</v>
      </c>
      <c r="K73" t="s">
        <v>149</v>
      </c>
    </row>
    <row r="74" spans="1:11" x14ac:dyDescent="0.2">
      <c r="A74" t="s">
        <v>188</v>
      </c>
      <c r="B74" t="s">
        <v>21</v>
      </c>
      <c r="C74">
        <v>2</v>
      </c>
      <c r="D74">
        <v>38</v>
      </c>
      <c r="E74" s="3">
        <v>0</v>
      </c>
      <c r="F74" s="3">
        <v>0.32334995999999999</v>
      </c>
      <c r="G74" s="3">
        <v>1.9493857999999999</v>
      </c>
      <c r="H74" t="s">
        <v>102</v>
      </c>
      <c r="I74" t="s">
        <v>189</v>
      </c>
      <c r="K74" t="s">
        <v>21</v>
      </c>
    </row>
    <row r="75" spans="1:11" x14ac:dyDescent="0.2">
      <c r="A75" t="s">
        <v>190</v>
      </c>
      <c r="B75" t="s">
        <v>123</v>
      </c>
      <c r="C75">
        <v>2</v>
      </c>
      <c r="D75">
        <v>63</v>
      </c>
      <c r="E75" s="3">
        <v>0.96101749999999997</v>
      </c>
      <c r="F75" s="3">
        <v>0.50560438699999999</v>
      </c>
      <c r="G75" s="3">
        <v>0.36042393299999997</v>
      </c>
      <c r="H75" t="s">
        <v>124</v>
      </c>
      <c r="I75" t="s">
        <v>103</v>
      </c>
      <c r="K75" t="s">
        <v>123</v>
      </c>
    </row>
    <row r="76" spans="1:11" x14ac:dyDescent="0.2">
      <c r="A76" t="s">
        <v>191</v>
      </c>
      <c r="B76" t="s">
        <v>192</v>
      </c>
      <c r="C76">
        <v>2</v>
      </c>
      <c r="D76">
        <v>60</v>
      </c>
      <c r="E76" s="3">
        <v>9.8571670000000005</v>
      </c>
      <c r="F76" s="3">
        <v>1.4485771169999999</v>
      </c>
      <c r="G76" s="3">
        <v>1.839577767</v>
      </c>
      <c r="H76" t="s">
        <v>193</v>
      </c>
      <c r="I76" t="s">
        <v>14</v>
      </c>
      <c r="K76" t="s">
        <v>192</v>
      </c>
    </row>
    <row r="77" spans="1:11" x14ac:dyDescent="0.2">
      <c r="A77" t="s">
        <v>194</v>
      </c>
      <c r="B77" t="s">
        <v>21</v>
      </c>
      <c r="C77">
        <v>2</v>
      </c>
      <c r="D77">
        <v>42</v>
      </c>
      <c r="E77" s="3">
        <v>0</v>
      </c>
      <c r="F77" s="3">
        <v>0.48190137999999999</v>
      </c>
      <c r="G77" s="3">
        <v>0.13551903300000001</v>
      </c>
      <c r="H77" t="s">
        <v>102</v>
      </c>
      <c r="I77" t="s">
        <v>54</v>
      </c>
      <c r="K77" t="s">
        <v>21</v>
      </c>
    </row>
    <row r="78" spans="1:11" x14ac:dyDescent="0.2">
      <c r="A78" t="s">
        <v>195</v>
      </c>
      <c r="B78" t="s">
        <v>196</v>
      </c>
      <c r="C78">
        <v>2</v>
      </c>
      <c r="D78">
        <v>59</v>
      </c>
      <c r="E78" s="3">
        <v>0.19148066999999999</v>
      </c>
      <c r="F78" s="3">
        <v>0.46103987499999999</v>
      </c>
      <c r="G78" s="3">
        <v>0.26195811299999999</v>
      </c>
      <c r="H78" t="s">
        <v>197</v>
      </c>
      <c r="I78" t="s">
        <v>198</v>
      </c>
      <c r="K78" t="s">
        <v>196</v>
      </c>
    </row>
    <row r="79" spans="1:11" x14ac:dyDescent="0.2">
      <c r="A79" t="s">
        <v>199</v>
      </c>
      <c r="B79" t="s">
        <v>177</v>
      </c>
      <c r="C79">
        <v>2</v>
      </c>
      <c r="D79">
        <v>76</v>
      </c>
      <c r="E79" s="3">
        <v>0.76479649999999999</v>
      </c>
      <c r="F79" s="3">
        <v>1.0706195999999999</v>
      </c>
      <c r="G79" s="3">
        <v>0.82437742000000003</v>
      </c>
      <c r="H79" t="s">
        <v>178</v>
      </c>
      <c r="I79" t="s">
        <v>14</v>
      </c>
      <c r="K79" t="s">
        <v>177</v>
      </c>
    </row>
    <row r="80" spans="1:11" x14ac:dyDescent="0.2">
      <c r="A80" t="s">
        <v>200</v>
      </c>
      <c r="B80" t="s">
        <v>173</v>
      </c>
      <c r="C80">
        <v>2</v>
      </c>
      <c r="D80">
        <v>65</v>
      </c>
      <c r="E80" s="3">
        <v>0.95095490000000005</v>
      </c>
      <c r="F80" s="3">
        <v>0.238817693</v>
      </c>
      <c r="G80" s="3">
        <v>0.21627611299999999</v>
      </c>
      <c r="H80" t="s">
        <v>174</v>
      </c>
      <c r="I80" t="s">
        <v>143</v>
      </c>
      <c r="J80">
        <f>(207+70)/11</f>
        <v>25.181818181818183</v>
      </c>
      <c r="K80" t="s">
        <v>175</v>
      </c>
    </row>
    <row r="81" spans="1:11" x14ac:dyDescent="0.2">
      <c r="A81" t="s">
        <v>201</v>
      </c>
      <c r="B81" t="s">
        <v>196</v>
      </c>
      <c r="C81">
        <v>2</v>
      </c>
      <c r="D81">
        <v>56</v>
      </c>
      <c r="E81" s="3">
        <v>0.17747157999999999</v>
      </c>
      <c r="F81" s="3">
        <v>0.36773087300000001</v>
      </c>
      <c r="G81" s="3">
        <v>0.25215043999999998</v>
      </c>
      <c r="H81" t="s">
        <v>197</v>
      </c>
      <c r="I81" t="s">
        <v>198</v>
      </c>
      <c r="K81" t="s">
        <v>196</v>
      </c>
    </row>
    <row r="82" spans="1:11" x14ac:dyDescent="0.2">
      <c r="A82" t="s">
        <v>202</v>
      </c>
      <c r="B82" t="s">
        <v>123</v>
      </c>
      <c r="C82">
        <v>2</v>
      </c>
      <c r="D82">
        <v>59</v>
      </c>
      <c r="E82" s="3">
        <v>1.0621579999999999</v>
      </c>
      <c r="F82" s="3">
        <v>0.47314572999999999</v>
      </c>
      <c r="G82" s="3">
        <v>0.31754275300000001</v>
      </c>
      <c r="H82" t="s">
        <v>124</v>
      </c>
      <c r="I82" t="s">
        <v>103</v>
      </c>
      <c r="K82" t="s">
        <v>123</v>
      </c>
    </row>
    <row r="83" spans="1:11" x14ac:dyDescent="0.2">
      <c r="A83" t="s">
        <v>203</v>
      </c>
      <c r="B83" t="s">
        <v>123</v>
      </c>
      <c r="C83">
        <v>2</v>
      </c>
      <c r="D83">
        <v>46</v>
      </c>
      <c r="E83" s="3">
        <v>1.1592897</v>
      </c>
      <c r="F83" s="3">
        <v>0.58145835700000004</v>
      </c>
      <c r="G83" s="3">
        <v>0.40017965</v>
      </c>
      <c r="H83" t="s">
        <v>124</v>
      </c>
      <c r="I83" t="s">
        <v>103</v>
      </c>
      <c r="K83" t="s">
        <v>123</v>
      </c>
    </row>
    <row r="84" spans="1:11" x14ac:dyDescent="0.2">
      <c r="A84" t="s">
        <v>204</v>
      </c>
      <c r="B84" t="s">
        <v>205</v>
      </c>
      <c r="C84">
        <v>2</v>
      </c>
      <c r="D84">
        <v>57</v>
      </c>
      <c r="E84" s="3">
        <v>2.0156808000000002</v>
      </c>
      <c r="F84" s="3">
        <v>0.60783713299999997</v>
      </c>
      <c r="G84" s="3">
        <v>0.45592855700000001</v>
      </c>
      <c r="H84" t="s">
        <v>206</v>
      </c>
      <c r="I84" t="s">
        <v>207</v>
      </c>
      <c r="K84" t="s">
        <v>205</v>
      </c>
    </row>
    <row r="85" spans="1:11" x14ac:dyDescent="0.2">
      <c r="A85" t="s">
        <v>208</v>
      </c>
      <c r="B85" t="s">
        <v>123</v>
      </c>
      <c r="C85">
        <v>2</v>
      </c>
      <c r="D85">
        <v>57</v>
      </c>
      <c r="E85" s="3">
        <v>1.0550762</v>
      </c>
      <c r="F85" s="3">
        <v>0.57881508000000004</v>
      </c>
      <c r="G85" s="3">
        <v>0.38277486999999999</v>
      </c>
      <c r="H85" t="s">
        <v>124</v>
      </c>
      <c r="I85" t="s">
        <v>103</v>
      </c>
      <c r="K85" t="s">
        <v>123</v>
      </c>
    </row>
    <row r="86" spans="1:11" x14ac:dyDescent="0.2">
      <c r="A86" t="s">
        <v>209</v>
      </c>
      <c r="B86" t="s">
        <v>163</v>
      </c>
      <c r="C86">
        <v>2</v>
      </c>
      <c r="D86">
        <v>63</v>
      </c>
      <c r="E86" s="3">
        <v>0.66462385999999996</v>
      </c>
      <c r="F86" s="3">
        <v>0.52109806999999997</v>
      </c>
      <c r="G86" s="3">
        <v>0.31429658999999999</v>
      </c>
      <c r="H86" t="s">
        <v>164</v>
      </c>
      <c r="I86" t="s">
        <v>103</v>
      </c>
      <c r="K86" t="s">
        <v>163</v>
      </c>
    </row>
    <row r="87" spans="1:11" x14ac:dyDescent="0.2">
      <c r="A87" t="s">
        <v>210</v>
      </c>
      <c r="B87" t="s">
        <v>211</v>
      </c>
      <c r="C87">
        <v>2</v>
      </c>
      <c r="D87">
        <v>48</v>
      </c>
      <c r="E87" s="3">
        <v>8.4669159999999994</v>
      </c>
      <c r="F87" s="3">
        <v>2.4335266330000001</v>
      </c>
      <c r="G87" s="3">
        <v>2.2235670000000001</v>
      </c>
      <c r="H87" t="s">
        <v>212</v>
      </c>
      <c r="I87" t="s">
        <v>14</v>
      </c>
      <c r="K87" t="s">
        <v>211</v>
      </c>
    </row>
    <row r="88" spans="1:11" x14ac:dyDescent="0.2">
      <c r="A88" t="s">
        <v>213</v>
      </c>
      <c r="B88" t="s">
        <v>214</v>
      </c>
      <c r="C88">
        <v>2</v>
      </c>
      <c r="D88">
        <v>54</v>
      </c>
      <c r="E88" s="3">
        <v>1.0302492000000001</v>
      </c>
      <c r="F88" s="3">
        <v>0.24246803</v>
      </c>
      <c r="G88" s="3">
        <v>0.13262528000000001</v>
      </c>
      <c r="H88" t="s">
        <v>215</v>
      </c>
      <c r="I88" t="s">
        <v>107</v>
      </c>
      <c r="K88" t="s">
        <v>214</v>
      </c>
    </row>
    <row r="89" spans="1:11" x14ac:dyDescent="0.2">
      <c r="A89" t="s">
        <v>216</v>
      </c>
      <c r="B89" t="s">
        <v>173</v>
      </c>
      <c r="C89">
        <v>2</v>
      </c>
      <c r="D89">
        <v>63</v>
      </c>
      <c r="E89" s="3">
        <v>0.95149799999999995</v>
      </c>
      <c r="F89" s="3">
        <v>0.23973787299999999</v>
      </c>
      <c r="G89" s="3">
        <v>0.21604531299999999</v>
      </c>
      <c r="H89" t="s">
        <v>174</v>
      </c>
      <c r="I89" t="s">
        <v>143</v>
      </c>
      <c r="J89">
        <f>(207+70)/11</f>
        <v>25.181818181818183</v>
      </c>
      <c r="K89" t="s">
        <v>175</v>
      </c>
    </row>
    <row r="90" spans="1:11" x14ac:dyDescent="0.2">
      <c r="A90" t="s">
        <v>217</v>
      </c>
      <c r="B90" t="s">
        <v>156</v>
      </c>
      <c r="C90">
        <v>2</v>
      </c>
      <c r="D90">
        <v>32</v>
      </c>
      <c r="E90" s="3">
        <v>1.8570647</v>
      </c>
      <c r="F90" s="3">
        <v>1.368550333</v>
      </c>
      <c r="G90" s="3">
        <v>1.323490067</v>
      </c>
      <c r="H90" t="s">
        <v>157</v>
      </c>
      <c r="I90" t="s">
        <v>54</v>
      </c>
      <c r="K90" t="s">
        <v>156</v>
      </c>
    </row>
    <row r="91" spans="1:11" x14ac:dyDescent="0.2">
      <c r="A91" t="s">
        <v>218</v>
      </c>
      <c r="B91" t="s">
        <v>21</v>
      </c>
      <c r="C91">
        <v>2</v>
      </c>
      <c r="D91">
        <v>53</v>
      </c>
      <c r="E91" s="3">
        <v>0</v>
      </c>
      <c r="F91" s="3">
        <v>0.17910688</v>
      </c>
      <c r="G91" s="3">
        <v>0.70122364000000004</v>
      </c>
      <c r="H91" t="s">
        <v>102</v>
      </c>
      <c r="I91" t="s">
        <v>14</v>
      </c>
      <c r="K91" t="s">
        <v>21</v>
      </c>
    </row>
    <row r="92" spans="1:11" x14ac:dyDescent="0.2">
      <c r="A92" t="s">
        <v>219</v>
      </c>
      <c r="B92" t="s">
        <v>21</v>
      </c>
      <c r="C92">
        <v>2</v>
      </c>
      <c r="D92">
        <v>50</v>
      </c>
      <c r="E92" s="3">
        <v>2.7925386999999999E-2</v>
      </c>
      <c r="F92" s="3">
        <v>0.43209644699999999</v>
      </c>
      <c r="G92" s="3">
        <v>7.7316969999999999E-2</v>
      </c>
      <c r="H92" t="s">
        <v>102</v>
      </c>
      <c r="I92" t="s">
        <v>161</v>
      </c>
      <c r="K92" t="s">
        <v>21</v>
      </c>
    </row>
    <row r="93" spans="1:11" x14ac:dyDescent="0.2">
      <c r="A93" t="s">
        <v>220</v>
      </c>
      <c r="B93" t="s">
        <v>221</v>
      </c>
      <c r="C93">
        <v>2</v>
      </c>
      <c r="D93">
        <v>53</v>
      </c>
      <c r="E93" s="3">
        <v>1.0332885000000001</v>
      </c>
      <c r="F93" s="3">
        <v>0.31275381299999999</v>
      </c>
      <c r="G93" s="3">
        <v>0.1080473</v>
      </c>
      <c r="H93" t="s">
        <v>222</v>
      </c>
      <c r="I93" t="s">
        <v>54</v>
      </c>
      <c r="K93" t="s">
        <v>221</v>
      </c>
    </row>
    <row r="94" spans="1:11" x14ac:dyDescent="0.2">
      <c r="A94" t="s">
        <v>223</v>
      </c>
      <c r="B94" t="s">
        <v>173</v>
      </c>
      <c r="C94">
        <v>2</v>
      </c>
      <c r="D94">
        <v>74</v>
      </c>
      <c r="E94" s="3">
        <v>0.90632009999999996</v>
      </c>
      <c r="F94" s="3">
        <v>0.203604283</v>
      </c>
      <c r="G94" s="3">
        <v>0.22098064000000001</v>
      </c>
      <c r="H94" t="s">
        <v>174</v>
      </c>
      <c r="I94" t="s">
        <v>143</v>
      </c>
      <c r="J94">
        <f>(207+70)/11</f>
        <v>25.181818181818183</v>
      </c>
      <c r="K94" t="s">
        <v>175</v>
      </c>
    </row>
    <row r="95" spans="1:11" x14ac:dyDescent="0.2">
      <c r="A95" t="s">
        <v>224</v>
      </c>
      <c r="B95" t="s">
        <v>173</v>
      </c>
      <c r="C95">
        <v>2</v>
      </c>
      <c r="D95">
        <v>69</v>
      </c>
      <c r="E95" s="3">
        <v>0.92119600000000001</v>
      </c>
      <c r="F95" s="3">
        <v>0.21247660700000001</v>
      </c>
      <c r="G95" s="3">
        <v>0.22938139699999999</v>
      </c>
      <c r="H95" t="s">
        <v>174</v>
      </c>
      <c r="I95" t="s">
        <v>143</v>
      </c>
      <c r="J95">
        <f>(207+70)/11</f>
        <v>25.181818181818183</v>
      </c>
      <c r="K95" t="s">
        <v>175</v>
      </c>
    </row>
    <row r="96" spans="1:11" x14ac:dyDescent="0.2">
      <c r="A96" t="s">
        <v>225</v>
      </c>
      <c r="B96" t="s">
        <v>123</v>
      </c>
      <c r="C96">
        <v>2</v>
      </c>
      <c r="D96">
        <v>56</v>
      </c>
      <c r="E96" s="3">
        <v>1.0821421</v>
      </c>
      <c r="F96" s="3">
        <v>0.58366130000000005</v>
      </c>
      <c r="G96" s="3">
        <v>0.39509169999999999</v>
      </c>
      <c r="H96" t="s">
        <v>124</v>
      </c>
      <c r="I96" t="s">
        <v>103</v>
      </c>
      <c r="K96" t="s">
        <v>123</v>
      </c>
    </row>
    <row r="97" spans="1:11" x14ac:dyDescent="0.2">
      <c r="A97" t="s">
        <v>226</v>
      </c>
      <c r="B97" t="s">
        <v>227</v>
      </c>
      <c r="C97">
        <v>2</v>
      </c>
      <c r="D97">
        <v>46</v>
      </c>
      <c r="E97" s="3">
        <v>5.5502339999999997E-2</v>
      </c>
      <c r="F97" s="3">
        <v>0.20719495600000001</v>
      </c>
      <c r="G97" s="3">
        <v>0.21636390699999999</v>
      </c>
      <c r="H97" t="s">
        <v>228</v>
      </c>
      <c r="I97" t="s">
        <v>54</v>
      </c>
      <c r="K97" t="s">
        <v>227</v>
      </c>
    </row>
    <row r="98" spans="1:11" x14ac:dyDescent="0.2">
      <c r="A98" t="s">
        <v>229</v>
      </c>
      <c r="B98" t="s">
        <v>230</v>
      </c>
      <c r="C98">
        <v>2</v>
      </c>
      <c r="D98">
        <v>39</v>
      </c>
      <c r="E98" s="3">
        <v>0.20562570999999999</v>
      </c>
      <c r="F98" s="3">
        <v>0.42404686699999999</v>
      </c>
      <c r="G98" s="3">
        <v>6.2663496999999999E-2</v>
      </c>
      <c r="H98" t="s">
        <v>231</v>
      </c>
      <c r="I98" t="s">
        <v>54</v>
      </c>
      <c r="K98" t="s">
        <v>230</v>
      </c>
    </row>
    <row r="99" spans="1:11" x14ac:dyDescent="0.2">
      <c r="A99" t="s">
        <v>232</v>
      </c>
      <c r="B99" t="s">
        <v>120</v>
      </c>
      <c r="C99">
        <v>2</v>
      </c>
      <c r="D99">
        <v>36</v>
      </c>
      <c r="E99" s="3">
        <v>0</v>
      </c>
      <c r="F99" s="3">
        <v>0.35950491000000001</v>
      </c>
      <c r="G99" s="3">
        <v>0.10106844700000001</v>
      </c>
      <c r="H99" t="s">
        <v>121</v>
      </c>
      <c r="I99" t="s">
        <v>54</v>
      </c>
      <c r="K99" t="s">
        <v>120</v>
      </c>
    </row>
    <row r="100" spans="1:11" x14ac:dyDescent="0.2">
      <c r="A100" t="s">
        <v>233</v>
      </c>
      <c r="B100" t="s">
        <v>234</v>
      </c>
      <c r="C100">
        <v>2</v>
      </c>
      <c r="D100">
        <v>60</v>
      </c>
      <c r="E100" s="3">
        <v>1.1695312</v>
      </c>
      <c r="F100" s="3">
        <v>0.179492455</v>
      </c>
      <c r="G100" s="3">
        <v>0.12080711199999999</v>
      </c>
      <c r="H100" t="s">
        <v>235</v>
      </c>
      <c r="I100" t="s">
        <v>14</v>
      </c>
      <c r="K100" t="s">
        <v>234</v>
      </c>
    </row>
    <row r="101" spans="1:11" x14ac:dyDescent="0.2">
      <c r="A101" t="s">
        <v>236</v>
      </c>
      <c r="B101" t="s">
        <v>173</v>
      </c>
      <c r="C101">
        <v>2</v>
      </c>
      <c r="D101">
        <v>75</v>
      </c>
      <c r="E101" s="3">
        <v>0.87125830000000004</v>
      </c>
      <c r="F101" s="3">
        <v>0.22450978699999999</v>
      </c>
      <c r="G101" s="3">
        <v>0.20275346999999999</v>
      </c>
      <c r="H101" t="s">
        <v>174</v>
      </c>
      <c r="I101" t="s">
        <v>143</v>
      </c>
      <c r="J101">
        <f>(207+70)/11</f>
        <v>25.181818181818183</v>
      </c>
      <c r="K101" t="s">
        <v>175</v>
      </c>
    </row>
    <row r="102" spans="1:11" x14ac:dyDescent="0.2">
      <c r="A102" t="s">
        <v>237</v>
      </c>
      <c r="B102" t="s">
        <v>238</v>
      </c>
      <c r="C102">
        <v>2</v>
      </c>
      <c r="D102">
        <v>54</v>
      </c>
      <c r="E102" s="3">
        <v>1.0673756999999999</v>
      </c>
      <c r="F102" s="3">
        <v>0.43169711700000002</v>
      </c>
      <c r="G102" s="3">
        <v>0.21203184999999999</v>
      </c>
      <c r="H102" t="s">
        <v>239</v>
      </c>
      <c r="I102" t="s">
        <v>54</v>
      </c>
      <c r="K102" t="s">
        <v>238</v>
      </c>
    </row>
    <row r="103" spans="1:11" x14ac:dyDescent="0.2">
      <c r="A103" t="s">
        <v>240</v>
      </c>
      <c r="B103" t="s">
        <v>241</v>
      </c>
      <c r="C103">
        <v>2</v>
      </c>
      <c r="D103">
        <v>34</v>
      </c>
      <c r="E103" s="3">
        <v>0</v>
      </c>
      <c r="F103" s="3">
        <v>1.6096293000000001E-2</v>
      </c>
      <c r="G103" s="3">
        <v>0.22450810199999999</v>
      </c>
      <c r="H103" t="s">
        <v>242</v>
      </c>
      <c r="I103" t="s">
        <v>168</v>
      </c>
      <c r="K103" t="s">
        <v>241</v>
      </c>
    </row>
    <row r="104" spans="1:11" x14ac:dyDescent="0.2">
      <c r="A104" t="s">
        <v>243</v>
      </c>
      <c r="B104" t="s">
        <v>21</v>
      </c>
      <c r="C104">
        <v>2</v>
      </c>
      <c r="D104">
        <v>5</v>
      </c>
      <c r="E104" s="3">
        <v>2.1009693</v>
      </c>
      <c r="F104" s="3">
        <v>0.34149389299999999</v>
      </c>
      <c r="G104" s="3">
        <v>0.30281933999999999</v>
      </c>
      <c r="H104" t="s">
        <v>102</v>
      </c>
      <c r="I104" t="s">
        <v>244</v>
      </c>
      <c r="K104" t="s">
        <v>21</v>
      </c>
    </row>
    <row r="105" spans="1:11" x14ac:dyDescent="0.2">
      <c r="A105" t="s">
        <v>245</v>
      </c>
      <c r="B105" t="s">
        <v>246</v>
      </c>
      <c r="C105">
        <v>2</v>
      </c>
      <c r="D105">
        <v>38</v>
      </c>
      <c r="E105" s="3">
        <v>0</v>
      </c>
      <c r="F105" s="3">
        <v>0.18409398499999999</v>
      </c>
      <c r="G105" s="3">
        <v>0.23288283300000001</v>
      </c>
      <c r="H105" t="s">
        <v>247</v>
      </c>
      <c r="I105" t="s">
        <v>116</v>
      </c>
      <c r="K105" t="s">
        <v>246</v>
      </c>
    </row>
    <row r="106" spans="1:11" x14ac:dyDescent="0.2">
      <c r="A106" t="s">
        <v>248</v>
      </c>
      <c r="B106" t="s">
        <v>138</v>
      </c>
      <c r="C106">
        <v>2</v>
      </c>
      <c r="D106">
        <v>32</v>
      </c>
      <c r="E106" s="3">
        <v>0.25544417000000003</v>
      </c>
      <c r="F106" s="3">
        <v>0.40762393600000002</v>
      </c>
      <c r="G106" s="3">
        <v>8.7170227000000003E-2</v>
      </c>
      <c r="H106" t="s">
        <v>139</v>
      </c>
      <c r="I106" t="s">
        <v>54</v>
      </c>
      <c r="K106" t="s">
        <v>138</v>
      </c>
    </row>
    <row r="107" spans="1:11" x14ac:dyDescent="0.2">
      <c r="A107" t="s">
        <v>249</v>
      </c>
      <c r="B107" t="s">
        <v>21</v>
      </c>
      <c r="C107">
        <v>2</v>
      </c>
      <c r="D107">
        <v>48</v>
      </c>
      <c r="E107" s="3">
        <v>1.0183157</v>
      </c>
      <c r="F107" s="3">
        <v>0.12717096999999999</v>
      </c>
      <c r="G107" s="3">
        <v>0.133492743</v>
      </c>
      <c r="H107" t="s">
        <v>102</v>
      </c>
      <c r="I107" t="s">
        <v>107</v>
      </c>
      <c r="K107" t="s">
        <v>21</v>
      </c>
    </row>
    <row r="108" spans="1:11" x14ac:dyDescent="0.2">
      <c r="A108" t="s">
        <v>250</v>
      </c>
      <c r="B108" t="s">
        <v>251</v>
      </c>
      <c r="C108">
        <v>2</v>
      </c>
      <c r="D108">
        <v>44</v>
      </c>
      <c r="E108" s="3">
        <v>2.6413760000000002</v>
      </c>
      <c r="F108" s="3">
        <v>0.59292624299999996</v>
      </c>
      <c r="G108" s="3">
        <v>0.264944497</v>
      </c>
      <c r="H108" t="s">
        <v>252</v>
      </c>
      <c r="I108" t="s">
        <v>207</v>
      </c>
      <c r="K108" t="s">
        <v>251</v>
      </c>
    </row>
    <row r="109" spans="1:11" x14ac:dyDescent="0.2">
      <c r="A109" t="s">
        <v>253</v>
      </c>
      <c r="B109" t="s">
        <v>254</v>
      </c>
      <c r="C109">
        <v>2</v>
      </c>
      <c r="D109">
        <v>43</v>
      </c>
      <c r="E109" s="3">
        <v>0.93240917000000001</v>
      </c>
      <c r="F109" s="3">
        <v>6.1862222000000001E-2</v>
      </c>
      <c r="G109" s="3">
        <v>5.4604359999999998E-2</v>
      </c>
      <c r="H109" t="s">
        <v>255</v>
      </c>
      <c r="I109" t="s">
        <v>14</v>
      </c>
      <c r="K109" t="s">
        <v>254</v>
      </c>
    </row>
    <row r="110" spans="1:11" x14ac:dyDescent="0.2">
      <c r="A110" t="s">
        <v>256</v>
      </c>
      <c r="B110" t="s">
        <v>257</v>
      </c>
      <c r="C110">
        <v>2</v>
      </c>
      <c r="D110">
        <v>24</v>
      </c>
      <c r="E110" s="3">
        <v>0.30199179999999998</v>
      </c>
      <c r="F110" s="3">
        <v>2.67143979</v>
      </c>
      <c r="G110" s="3">
        <v>2.651157843</v>
      </c>
      <c r="H110" t="s">
        <v>258</v>
      </c>
      <c r="I110" t="s">
        <v>54</v>
      </c>
      <c r="K110" t="s">
        <v>257</v>
      </c>
    </row>
    <row r="111" spans="1:11" x14ac:dyDescent="0.2">
      <c r="A111" t="s">
        <v>259</v>
      </c>
      <c r="B111" t="s">
        <v>227</v>
      </c>
      <c r="C111">
        <v>2</v>
      </c>
      <c r="D111">
        <v>35</v>
      </c>
      <c r="E111" s="3">
        <v>3.5727262000000003E-2</v>
      </c>
      <c r="F111" s="3">
        <v>0.20805479299999999</v>
      </c>
      <c r="G111" s="3">
        <v>0.151436442</v>
      </c>
      <c r="H111" t="s">
        <v>228</v>
      </c>
      <c r="I111" t="s">
        <v>54</v>
      </c>
      <c r="K111" t="s">
        <v>227</v>
      </c>
    </row>
    <row r="112" spans="1:11" x14ac:dyDescent="0.2">
      <c r="A112" t="s">
        <v>260</v>
      </c>
      <c r="B112" t="s">
        <v>261</v>
      </c>
      <c r="C112">
        <v>2</v>
      </c>
      <c r="D112">
        <v>15</v>
      </c>
      <c r="E112" s="3">
        <v>0.19579009999999999</v>
      </c>
      <c r="F112" s="3">
        <v>0.45529184099999997</v>
      </c>
      <c r="G112" s="3">
        <v>0.103090693</v>
      </c>
      <c r="H112" t="s">
        <v>262</v>
      </c>
      <c r="I112" t="s">
        <v>244</v>
      </c>
      <c r="K112" t="s">
        <v>261</v>
      </c>
    </row>
    <row r="113" spans="1:11" x14ac:dyDescent="0.2">
      <c r="A113" t="s">
        <v>263</v>
      </c>
      <c r="B113" t="s">
        <v>21</v>
      </c>
      <c r="C113">
        <v>2</v>
      </c>
      <c r="D113">
        <v>39</v>
      </c>
      <c r="E113" s="3">
        <v>1.0586158999999999</v>
      </c>
      <c r="F113" s="3">
        <v>0.104359383</v>
      </c>
      <c r="G113" s="3">
        <v>9.7898694999999994E-2</v>
      </c>
      <c r="H113" t="s">
        <v>102</v>
      </c>
      <c r="I113" t="s">
        <v>116</v>
      </c>
      <c r="K113" t="s">
        <v>21</v>
      </c>
    </row>
    <row r="114" spans="1:11" x14ac:dyDescent="0.2">
      <c r="A114" t="s">
        <v>264</v>
      </c>
      <c r="B114" t="s">
        <v>265</v>
      </c>
      <c r="C114">
        <v>2</v>
      </c>
      <c r="D114">
        <v>14</v>
      </c>
      <c r="E114" s="3">
        <v>0</v>
      </c>
      <c r="F114" s="3">
        <v>0.132490573</v>
      </c>
      <c r="G114" s="3">
        <v>0.57488921999999998</v>
      </c>
      <c r="H114" t="s">
        <v>266</v>
      </c>
      <c r="I114" t="s">
        <v>244</v>
      </c>
      <c r="K114" t="s">
        <v>265</v>
      </c>
    </row>
    <row r="115" spans="1:11" x14ac:dyDescent="0.2">
      <c r="A115" t="s">
        <v>267</v>
      </c>
      <c r="B115" t="s">
        <v>138</v>
      </c>
      <c r="C115">
        <v>2</v>
      </c>
      <c r="D115">
        <v>30</v>
      </c>
      <c r="E115" s="3">
        <v>0.23971279000000001</v>
      </c>
      <c r="F115" s="3">
        <v>0.38105826300000001</v>
      </c>
      <c r="G115" s="3">
        <v>9.0252937000000005E-2</v>
      </c>
      <c r="H115" t="s">
        <v>139</v>
      </c>
      <c r="I115" t="s">
        <v>54</v>
      </c>
      <c r="K115" t="s">
        <v>138</v>
      </c>
    </row>
    <row r="116" spans="1:11" x14ac:dyDescent="0.2">
      <c r="A116" t="s">
        <v>268</v>
      </c>
      <c r="B116" t="s">
        <v>163</v>
      </c>
      <c r="C116">
        <v>2</v>
      </c>
      <c r="D116">
        <v>55</v>
      </c>
      <c r="E116" s="3">
        <v>0.57874139999999996</v>
      </c>
      <c r="F116" s="3">
        <v>0.46953276999999999</v>
      </c>
      <c r="G116" s="3">
        <v>0.27898098700000001</v>
      </c>
      <c r="H116" t="s">
        <v>164</v>
      </c>
      <c r="I116" t="s">
        <v>103</v>
      </c>
      <c r="K116" t="s">
        <v>163</v>
      </c>
    </row>
    <row r="117" spans="1:11" x14ac:dyDescent="0.2">
      <c r="A117" t="s">
        <v>269</v>
      </c>
      <c r="B117" t="s">
        <v>270</v>
      </c>
      <c r="C117">
        <v>2</v>
      </c>
      <c r="D117">
        <v>49</v>
      </c>
      <c r="E117" s="3">
        <v>1.1173797000000001</v>
      </c>
      <c r="F117" s="3">
        <v>0.23160078000000001</v>
      </c>
      <c r="G117" s="3">
        <v>0.179529577</v>
      </c>
      <c r="H117" t="s">
        <v>271</v>
      </c>
      <c r="I117" t="s">
        <v>143</v>
      </c>
      <c r="J117">
        <f>207/11</f>
        <v>18.818181818181817</v>
      </c>
      <c r="K117" t="s">
        <v>272</v>
      </c>
    </row>
    <row r="118" spans="1:11" x14ac:dyDescent="0.2">
      <c r="A118" t="s">
        <v>273</v>
      </c>
      <c r="B118" t="s">
        <v>274</v>
      </c>
      <c r="C118">
        <v>2</v>
      </c>
      <c r="D118">
        <v>68</v>
      </c>
      <c r="E118" s="3">
        <v>11.217748</v>
      </c>
      <c r="F118" s="3">
        <v>4.2697468670000003</v>
      </c>
      <c r="G118" s="3">
        <v>2.1750239329999999</v>
      </c>
      <c r="H118" t="s">
        <v>275</v>
      </c>
      <c r="I118" t="s">
        <v>143</v>
      </c>
      <c r="J118">
        <f>207/11</f>
        <v>18.818181818181817</v>
      </c>
      <c r="K118" t="s">
        <v>276</v>
      </c>
    </row>
    <row r="119" spans="1:11" x14ac:dyDescent="0.2">
      <c r="A119" t="s">
        <v>277</v>
      </c>
      <c r="B119" t="s">
        <v>21</v>
      </c>
      <c r="C119">
        <v>2</v>
      </c>
      <c r="D119">
        <v>10</v>
      </c>
      <c r="E119" s="3">
        <v>0.44202580000000002</v>
      </c>
      <c r="F119" s="3">
        <v>1.3198182199999999</v>
      </c>
      <c r="G119" s="3">
        <v>2.38861642</v>
      </c>
      <c r="H119" t="s">
        <v>102</v>
      </c>
      <c r="I119" t="s">
        <v>244</v>
      </c>
      <c r="K119" t="s">
        <v>21</v>
      </c>
    </row>
    <row r="120" spans="1:11" x14ac:dyDescent="0.2">
      <c r="A120" t="s">
        <v>278</v>
      </c>
      <c r="B120" t="s">
        <v>149</v>
      </c>
      <c r="C120">
        <v>2</v>
      </c>
      <c r="D120">
        <v>35</v>
      </c>
      <c r="E120" s="3">
        <v>7.8835059999999998E-2</v>
      </c>
      <c r="F120" s="3">
        <v>0.36519409000000003</v>
      </c>
      <c r="G120" s="3">
        <v>0.42651625700000001</v>
      </c>
      <c r="H120" t="s">
        <v>150</v>
      </c>
      <c r="I120" t="s">
        <v>14</v>
      </c>
      <c r="K120" t="s">
        <v>149</v>
      </c>
    </row>
    <row r="121" spans="1:11" x14ac:dyDescent="0.2">
      <c r="A121" t="s">
        <v>279</v>
      </c>
      <c r="B121" t="s">
        <v>280</v>
      </c>
      <c r="C121">
        <v>2</v>
      </c>
      <c r="D121">
        <v>33</v>
      </c>
      <c r="E121" s="3">
        <v>0.33893173999999998</v>
      </c>
      <c r="F121" s="3">
        <v>0.199888647</v>
      </c>
      <c r="G121" s="3">
        <v>0.29740652000000001</v>
      </c>
      <c r="H121" t="s">
        <v>281</v>
      </c>
      <c r="I121" t="s">
        <v>54</v>
      </c>
      <c r="K121" t="s">
        <v>280</v>
      </c>
    </row>
    <row r="122" spans="1:11" x14ac:dyDescent="0.2">
      <c r="A122" t="s">
        <v>282</v>
      </c>
      <c r="B122" t="s">
        <v>113</v>
      </c>
      <c r="C122">
        <v>2</v>
      </c>
      <c r="D122">
        <v>53</v>
      </c>
      <c r="E122" s="3">
        <v>1.0325694999999999</v>
      </c>
      <c r="F122" s="3">
        <v>0.60809707999999996</v>
      </c>
      <c r="G122" s="3">
        <v>0.40852038299999999</v>
      </c>
      <c r="H122" t="s">
        <v>114</v>
      </c>
      <c r="I122" t="s">
        <v>54</v>
      </c>
      <c r="K122" t="s">
        <v>113</v>
      </c>
    </row>
    <row r="123" spans="1:11" x14ac:dyDescent="0.2">
      <c r="A123" t="s">
        <v>283</v>
      </c>
      <c r="B123" t="s">
        <v>196</v>
      </c>
      <c r="C123">
        <v>2</v>
      </c>
      <c r="D123">
        <v>34</v>
      </c>
      <c r="E123" s="3">
        <v>0.22059265</v>
      </c>
      <c r="F123" s="3">
        <v>0.31238778</v>
      </c>
      <c r="G123" s="3">
        <v>0.22493031199999999</v>
      </c>
      <c r="H123" t="s">
        <v>197</v>
      </c>
      <c r="I123" t="s">
        <v>198</v>
      </c>
      <c r="K123" t="s">
        <v>196</v>
      </c>
    </row>
    <row r="124" spans="1:11" x14ac:dyDescent="0.2">
      <c r="A124" t="s">
        <v>284</v>
      </c>
      <c r="B124" t="s">
        <v>285</v>
      </c>
      <c r="C124">
        <v>2</v>
      </c>
      <c r="D124">
        <v>36</v>
      </c>
      <c r="E124" s="3">
        <v>1.3391373</v>
      </c>
      <c r="F124" s="3">
        <v>0.72223407699999997</v>
      </c>
      <c r="G124" s="3">
        <v>0.24012415000000001</v>
      </c>
      <c r="H124" t="s">
        <v>286</v>
      </c>
      <c r="I124" t="s">
        <v>116</v>
      </c>
      <c r="K124" t="s">
        <v>285</v>
      </c>
    </row>
    <row r="125" spans="1:11" x14ac:dyDescent="0.2">
      <c r="A125" t="s">
        <v>287</v>
      </c>
      <c r="B125" t="s">
        <v>156</v>
      </c>
      <c r="C125">
        <v>2</v>
      </c>
      <c r="D125">
        <v>31</v>
      </c>
      <c r="E125" s="3">
        <v>0.2285952</v>
      </c>
      <c r="F125" s="3">
        <v>0.48113635300000002</v>
      </c>
      <c r="G125" s="3">
        <v>0.45315986000000003</v>
      </c>
      <c r="H125" t="s">
        <v>157</v>
      </c>
      <c r="I125" t="s">
        <v>54</v>
      </c>
      <c r="K125" t="s">
        <v>156</v>
      </c>
    </row>
    <row r="126" spans="1:11" x14ac:dyDescent="0.2">
      <c r="A126" t="s">
        <v>288</v>
      </c>
      <c r="B126" t="s">
        <v>149</v>
      </c>
      <c r="C126">
        <v>2</v>
      </c>
      <c r="D126">
        <v>41</v>
      </c>
      <c r="E126" s="3">
        <v>7.7518110000000001E-2</v>
      </c>
      <c r="F126" s="3">
        <v>0.673540413</v>
      </c>
      <c r="G126" s="3">
        <v>0.89997575299999999</v>
      </c>
      <c r="H126" t="s">
        <v>150</v>
      </c>
      <c r="I126" t="s">
        <v>14</v>
      </c>
      <c r="K126" t="s">
        <v>149</v>
      </c>
    </row>
    <row r="127" spans="1:11" x14ac:dyDescent="0.2">
      <c r="A127" t="s">
        <v>289</v>
      </c>
      <c r="B127" t="s">
        <v>290</v>
      </c>
      <c r="C127">
        <v>2</v>
      </c>
      <c r="D127">
        <v>48</v>
      </c>
      <c r="E127" s="3">
        <v>0.41319056999999998</v>
      </c>
      <c r="F127" s="3">
        <v>0.39082210299999998</v>
      </c>
      <c r="G127" s="3">
        <v>0.20945092300000001</v>
      </c>
      <c r="H127" t="s">
        <v>291</v>
      </c>
      <c r="I127" t="s">
        <v>54</v>
      </c>
      <c r="K127" t="s">
        <v>290</v>
      </c>
    </row>
    <row r="128" spans="1:11" x14ac:dyDescent="0.2">
      <c r="A128" t="s">
        <v>292</v>
      </c>
      <c r="B128" t="s">
        <v>21</v>
      </c>
      <c r="C128">
        <v>2</v>
      </c>
      <c r="D128">
        <v>56</v>
      </c>
      <c r="E128" s="3">
        <v>0.32505002999999999</v>
      </c>
      <c r="F128" s="3">
        <v>0.36671970300000001</v>
      </c>
      <c r="G128" s="3">
        <v>0.33377115000000002</v>
      </c>
      <c r="H128" t="s">
        <v>102</v>
      </c>
      <c r="I128" t="s">
        <v>118</v>
      </c>
      <c r="K128" t="s">
        <v>21</v>
      </c>
    </row>
    <row r="129" spans="1:11" x14ac:dyDescent="0.2">
      <c r="A129" t="s">
        <v>293</v>
      </c>
      <c r="B129" t="s">
        <v>294</v>
      </c>
      <c r="C129">
        <v>2</v>
      </c>
      <c r="D129">
        <v>47</v>
      </c>
      <c r="E129" s="3">
        <v>0.78698959999999996</v>
      </c>
      <c r="F129" s="3">
        <v>0.29318921999999997</v>
      </c>
      <c r="G129" s="3">
        <v>0.15244226299999999</v>
      </c>
      <c r="H129" t="s">
        <v>295</v>
      </c>
      <c r="I129" t="s">
        <v>116</v>
      </c>
      <c r="K129" t="s">
        <v>294</v>
      </c>
    </row>
    <row r="130" spans="1:11" x14ac:dyDescent="0.2">
      <c r="A130" t="s">
        <v>296</v>
      </c>
      <c r="B130" t="s">
        <v>141</v>
      </c>
      <c r="C130">
        <v>2</v>
      </c>
      <c r="D130">
        <v>78</v>
      </c>
      <c r="E130" s="3">
        <v>3.8714776</v>
      </c>
      <c r="F130" s="3">
        <v>0.733464593</v>
      </c>
      <c r="G130" s="3">
        <v>0.434888047</v>
      </c>
      <c r="H130" t="s">
        <v>142</v>
      </c>
      <c r="I130" t="s">
        <v>143</v>
      </c>
      <c r="J130">
        <f>207/11</f>
        <v>18.818181818181817</v>
      </c>
      <c r="K130" t="s">
        <v>144</v>
      </c>
    </row>
  </sheetData>
  <autoFilter ref="A1:K130" xr:uid="{00000000-0009-0000-0000-000000000000}"/>
  <sortState xmlns:xlrd2="http://schemas.microsoft.com/office/spreadsheetml/2017/richdata2" ref="A2:K130">
    <sortCondition descending="1" ref="J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2025-07-16T18:20:00Z</dcterms:created>
  <dcterms:modified xsi:type="dcterms:W3CDTF">2025-12-03T10:40:24Z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C29C4710B458B3C5E826776845DDF51F_42</vt:lpwstr>
  </property>
</Properties>
</file>