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ex-fig7/"/>
    </mc:Choice>
  </mc:AlternateContent>
  <xr:revisionPtr revIDLastSave="0" documentId="13_ncr:1_{8CC51753-94C6-1343-AB2C-2692083301F7}" xr6:coauthVersionLast="47" xr6:coauthVersionMax="47" xr10:uidLastSave="{00000000-0000-0000-0000-000000000000}"/>
  <bookViews>
    <workbookView xWindow="6040" yWindow="1080" windowWidth="22760" windowHeight="13720" xr2:uid="{2B10C33A-3EF3-F14F-AC81-4CCEB2168FDC}"/>
  </bookViews>
  <sheets>
    <sheet name="Intra.raw" sheetId="6" r:id="rId1"/>
    <sheet name="Intra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E8" i="6"/>
  <c r="F8" i="6"/>
  <c r="G8" i="6"/>
  <c r="H8" i="6"/>
  <c r="I8" i="6"/>
  <c r="J8" i="6"/>
  <c r="D9" i="6"/>
  <c r="E9" i="6"/>
  <c r="F9" i="6"/>
  <c r="G9" i="6"/>
  <c r="H9" i="6"/>
  <c r="I9" i="6"/>
  <c r="J9" i="6"/>
  <c r="C9" i="6"/>
  <c r="C8" i="6"/>
</calcChain>
</file>

<file path=xl/sharedStrings.xml><?xml version="1.0" encoding="utf-8"?>
<sst xmlns="http://schemas.openxmlformats.org/spreadsheetml/2006/main" count="40" uniqueCount="19">
  <si>
    <t>Choline</t>
  </si>
  <si>
    <t>Glycerophosphocholine</t>
  </si>
  <si>
    <t>Methyl palmitate</t>
  </si>
  <si>
    <t>L-Glutamic acid</t>
  </si>
  <si>
    <t>Label</t>
  </si>
  <si>
    <t>Group</t>
  </si>
  <si>
    <t>Dark</t>
  </si>
  <si>
    <t>IR</t>
  </si>
  <si>
    <t>Glucose-6-phosphate</t>
  </si>
  <si>
    <t>D-(-)-Glutamine</t>
  </si>
  <si>
    <t>Opt-D3</t>
  </si>
  <si>
    <t>Opt-D2</t>
  </si>
  <si>
    <t>Opt-D1</t>
  </si>
  <si>
    <t>Opt-I3</t>
  </si>
  <si>
    <t>Opt-I2</t>
  </si>
  <si>
    <t>Opt-I1</t>
  </si>
  <si>
    <t>Gluconic acid</t>
  </si>
  <si>
    <t>D-(+)-Galactose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</si>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</sst>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 (Body)"/>
    </font>
    <font>
      <sz val="11"/>
      <color theme="1"/>
      <name val="Calibri (Body)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1" fontId="4" fillId="0" borderId="1" xfId="0" applyNumberFormat="1" applyFont="1" applyFill="1" applyBorder="1" applyAlignment="1">
      <alignment horizontal="center" vertical="center"/>
    </xf>
    <xf numFmtId="11" fontId="2" fillId="0" borderId="1" xfId="0" applyNumberFormat="1" applyFont="1" applyFill="1" applyBorder="1" applyAlignment="1">
      <alignment horizontal="center" vertical="center"/>
    </xf>
    <xf numFmtId="11" fontId="5" fillId="0" borderId="1" xfId="0" applyNumberFormat="1" applyFont="1" applyFill="1" applyBorder="1" applyAlignment="1">
      <alignment horizontal="center" vertical="center"/>
    </xf>
    <xf numFmtId="11" fontId="0" fillId="0" borderId="0" xfId="0" applyNumberFormat="1" applyFont="1" applyFill="1" applyAlignment="1">
      <alignment horizontal="center"/>
    </xf>
    <xf numFmtId="0" fontId="0" fillId="0" borderId="0" xfId="0" applyFont="1"/>
    <xf numFmtId="1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4D49-5BC0-0648-B891-42A1C5C2E367}">
  <dimension ref="A1:J10"/>
  <sheetViews>
    <sheetView tabSelected="1" workbookViewId="0">
      <selection activeCell="E7" sqref="E7"/>
    </sheetView>
  </sheetViews>
  <sheetFormatPr baseColWidth="10" defaultRowHeight="16" x14ac:dyDescent="0.2"/>
  <cols>
    <col min="3" max="10" width="18.33203125" customWidth="1"/>
  </cols>
  <sheetData>
    <row r="1" spans="1:10" x14ac:dyDescent="0.2">
      <c r="A1" s="2" t="s">
        <v>4</v>
      </c>
      <c r="B1" s="2" t="s">
        <v>5</v>
      </c>
      <c r="C1" s="3" t="s">
        <v>17</v>
      </c>
      <c r="D1" s="3" t="s">
        <v>8</v>
      </c>
      <c r="E1" s="3" t="s">
        <v>16</v>
      </c>
      <c r="F1" s="3" t="s">
        <v>1</v>
      </c>
      <c r="G1" s="4" t="s">
        <v>0</v>
      </c>
      <c r="H1" s="3" t="s">
        <v>2</v>
      </c>
      <c r="I1" s="5" t="s">
        <v>9</v>
      </c>
      <c r="J1" s="5" t="s">
        <v>3</v>
      </c>
    </row>
    <row r="2" spans="1:10" x14ac:dyDescent="0.2">
      <c r="A2" s="2" t="s">
        <v>10</v>
      </c>
      <c r="B2" s="2" t="s">
        <v>6</v>
      </c>
      <c r="C2" s="6">
        <v>9196123.1740481202</v>
      </c>
      <c r="D2" s="6">
        <v>1792746.28526853</v>
      </c>
      <c r="E2" s="6">
        <v>9173861.6144929994</v>
      </c>
      <c r="F2" s="6">
        <v>3200933360.3477702</v>
      </c>
      <c r="G2" s="7">
        <v>454469674.71348202</v>
      </c>
      <c r="H2" s="6">
        <v>73241831.051107705</v>
      </c>
      <c r="I2" s="8">
        <v>13067337.9172234</v>
      </c>
      <c r="J2" s="8">
        <v>670879.06151651801</v>
      </c>
    </row>
    <row r="3" spans="1:10" x14ac:dyDescent="0.2">
      <c r="A3" s="2" t="s">
        <v>11</v>
      </c>
      <c r="B3" s="2" t="s">
        <v>6</v>
      </c>
      <c r="C3" s="6">
        <v>15207823.131393701</v>
      </c>
      <c r="D3" s="6">
        <v>5797081.04179121</v>
      </c>
      <c r="E3" s="6">
        <v>28112019.841522198</v>
      </c>
      <c r="F3" s="6">
        <v>2877986844.81319</v>
      </c>
      <c r="G3" s="7">
        <v>632679563.83253896</v>
      </c>
      <c r="H3" s="6">
        <v>97876889.834592506</v>
      </c>
      <c r="I3" s="8">
        <v>6943303.8516813098</v>
      </c>
      <c r="J3" s="8">
        <v>19983816.632760499</v>
      </c>
    </row>
    <row r="4" spans="1:10" x14ac:dyDescent="0.2">
      <c r="A4" s="2" t="s">
        <v>12</v>
      </c>
      <c r="B4" s="2" t="s">
        <v>6</v>
      </c>
      <c r="C4" s="6">
        <v>9179045.9055165201</v>
      </c>
      <c r="D4" s="6">
        <v>4106798.6944526602</v>
      </c>
      <c r="E4" s="6">
        <v>5481433.41088604</v>
      </c>
      <c r="F4" s="6">
        <v>2788971024.03161</v>
      </c>
      <c r="G4" s="7">
        <v>605112698.48720598</v>
      </c>
      <c r="H4" s="6">
        <v>126269077.20369001</v>
      </c>
      <c r="I4" s="8">
        <v>13472556.932844199</v>
      </c>
      <c r="J4" s="8">
        <v>53192059.512864403</v>
      </c>
    </row>
    <row r="5" spans="1:10" x14ac:dyDescent="0.2">
      <c r="A5" s="2" t="s">
        <v>13</v>
      </c>
      <c r="B5" s="2" t="s">
        <v>7</v>
      </c>
      <c r="C5" s="6">
        <v>7297697.3521610796</v>
      </c>
      <c r="D5" s="6">
        <v>3344231.7347290399</v>
      </c>
      <c r="E5" s="6">
        <v>11026991.170600999</v>
      </c>
      <c r="F5" s="6">
        <v>4099897703.1882701</v>
      </c>
      <c r="G5" s="7">
        <v>1605778550.6538999</v>
      </c>
      <c r="H5" s="6">
        <v>86166195.460962996</v>
      </c>
      <c r="I5" s="8">
        <v>14157216.5140117</v>
      </c>
      <c r="J5" s="8">
        <v>43143070.687988602</v>
      </c>
    </row>
    <row r="6" spans="1:10" x14ac:dyDescent="0.2">
      <c r="A6" s="2" t="s">
        <v>14</v>
      </c>
      <c r="B6" s="2" t="s">
        <v>7</v>
      </c>
      <c r="C6" s="6">
        <v>13235814.398244699</v>
      </c>
      <c r="D6" s="6">
        <v>4962386.12592657</v>
      </c>
      <c r="E6" s="6">
        <v>9537047.6803779397</v>
      </c>
      <c r="F6" s="6">
        <v>3177714843.4169698</v>
      </c>
      <c r="G6" s="7">
        <v>553440097.98790205</v>
      </c>
      <c r="H6" s="6">
        <v>237630629.449047</v>
      </c>
      <c r="I6" s="8">
        <v>12628258.4602207</v>
      </c>
      <c r="J6" s="8">
        <v>41187124.496485397</v>
      </c>
    </row>
    <row r="7" spans="1:10" x14ac:dyDescent="0.2">
      <c r="A7" s="2" t="s">
        <v>15</v>
      </c>
      <c r="B7" s="2" t="s">
        <v>7</v>
      </c>
      <c r="C7" s="6">
        <v>2872065.85986778</v>
      </c>
      <c r="D7" s="6">
        <v>1689946.80418773</v>
      </c>
      <c r="E7" s="6">
        <v>6892210.9118457502</v>
      </c>
      <c r="F7" s="6">
        <v>2867068734.5798202</v>
      </c>
      <c r="G7" s="7">
        <v>597896007.63184202</v>
      </c>
      <c r="H7" s="6">
        <v>222929804.251488</v>
      </c>
      <c r="I7" s="8">
        <v>11834127.0338303</v>
      </c>
      <c r="J7" s="8">
        <v>36189822.190197401</v>
      </c>
    </row>
    <row r="8" spans="1:10" x14ac:dyDescent="0.2">
      <c r="A8" s="2" t="s">
        <v>18</v>
      </c>
      <c r="B8" s="2" t="s">
        <v>6</v>
      </c>
      <c r="C8" s="9">
        <f>AVERAGE(C2:C4)</f>
        <v>11194330.736986114</v>
      </c>
      <c r="D8" s="9">
        <f t="shared" ref="D8:J8" si="0">AVERAGE(D2:D4)</f>
        <v>3898875.3405041336</v>
      </c>
      <c r="E8" s="9">
        <f t="shared" si="0"/>
        <v>14255771.622300414</v>
      </c>
      <c r="F8" s="9">
        <f t="shared" si="0"/>
        <v>2955963743.0641899</v>
      </c>
      <c r="G8" s="9">
        <f t="shared" si="0"/>
        <v>564087312.34440899</v>
      </c>
      <c r="H8" s="9">
        <f t="shared" si="0"/>
        <v>99129266.029796734</v>
      </c>
      <c r="I8" s="9">
        <f t="shared" si="0"/>
        <v>11161066.233916303</v>
      </c>
      <c r="J8" s="9">
        <f t="shared" si="0"/>
        <v>24615585.069047142</v>
      </c>
    </row>
    <row r="9" spans="1:10" x14ac:dyDescent="0.2">
      <c r="A9" s="10" t="s">
        <v>18</v>
      </c>
      <c r="B9" s="10" t="s">
        <v>7</v>
      </c>
      <c r="C9" s="11">
        <f>AVERAGE(C5:C7)</f>
        <v>7801859.2034245208</v>
      </c>
      <c r="D9" s="11">
        <f t="shared" ref="D9:J9" si="1">AVERAGE(D5:D7)</f>
        <v>3332188.2216144465</v>
      </c>
      <c r="E9" s="11">
        <f t="shared" si="1"/>
        <v>9152083.2542748973</v>
      </c>
      <c r="F9" s="11">
        <f t="shared" si="1"/>
        <v>3381560427.061687</v>
      </c>
      <c r="G9" s="11">
        <f t="shared" si="1"/>
        <v>919038218.75788128</v>
      </c>
      <c r="H9" s="11">
        <f t="shared" si="1"/>
        <v>182242209.72049931</v>
      </c>
      <c r="I9" s="11">
        <f t="shared" si="1"/>
        <v>12873200.669354232</v>
      </c>
      <c r="J9" s="11">
        <f t="shared" si="1"/>
        <v>40173339.124890469</v>
      </c>
    </row>
    <row r="10" spans="1:10" x14ac:dyDescent="0.2">
      <c r="C10" s="1"/>
      <c r="D10" s="1"/>
      <c r="E10" s="1"/>
      <c r="F10" s="1"/>
      <c r="G10" s="1"/>
      <c r="H10" s="1"/>
      <c r="I10" s="1"/>
      <c r="J1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ABCA-58D1-5146-81CB-00611537A659}">
  <dimension ref="A1:J3"/>
  <sheetViews>
    <sheetView workbookViewId="0">
      <selection activeCell="A4" sqref="A4"/>
    </sheetView>
  </sheetViews>
  <sheetFormatPr baseColWidth="10" defaultRowHeight="16" x14ac:dyDescent="0.2"/>
  <cols>
    <col min="3" max="10" width="16.6640625" customWidth="1"/>
  </cols>
  <sheetData>
    <row r="1" spans="1:10" x14ac:dyDescent="0.2">
      <c r="A1" t="s">
        <v>4</v>
      </c>
      <c r="B1" t="s">
        <v>5</v>
      </c>
      <c r="C1" t="s">
        <v>17</v>
      </c>
      <c r="D1" t="s">
        <v>8</v>
      </c>
      <c r="E1" t="s">
        <v>16</v>
      </c>
      <c r="F1" t="s">
        <v>1</v>
      </c>
      <c r="G1" t="s">
        <v>0</v>
      </c>
      <c r="H1" t="s">
        <v>2</v>
      </c>
      <c r="I1" t="s">
        <v>9</v>
      </c>
      <c r="J1" t="s">
        <v>3</v>
      </c>
    </row>
    <row r="2" spans="1:10" x14ac:dyDescent="0.2">
      <c r="A2" t="s">
        <v>6</v>
      </c>
      <c r="B2" t="s">
        <v>6</v>
      </c>
      <c r="C2">
        <v>11194330.736986114</v>
      </c>
      <c r="D2">
        <v>3898875.3405041336</v>
      </c>
      <c r="E2">
        <v>14255771.622300414</v>
      </c>
      <c r="F2">
        <v>2955963743.0641899</v>
      </c>
      <c r="G2">
        <v>564087312.34440899</v>
      </c>
      <c r="H2">
        <v>99129266.029796734</v>
      </c>
      <c r="I2">
        <v>11161066.233916303</v>
      </c>
      <c r="J2">
        <v>24615585.069047142</v>
      </c>
    </row>
    <row r="3" spans="1:10" x14ac:dyDescent="0.2">
      <c r="A3" t="s">
        <v>7</v>
      </c>
      <c r="B3" t="s">
        <v>7</v>
      </c>
      <c r="C3">
        <v>7801859.2034245208</v>
      </c>
      <c r="D3">
        <v>3332188.2216144465</v>
      </c>
      <c r="E3">
        <v>9152083.2542748973</v>
      </c>
      <c r="F3">
        <v>3381560427.061687</v>
      </c>
      <c r="G3">
        <v>919038218.75788128</v>
      </c>
      <c r="H3">
        <v>182242209.72049931</v>
      </c>
      <c r="I3">
        <v>12873200.669354232</v>
      </c>
      <c r="J3">
        <v>40173339.124890469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Intra.raw</vt:lpstr>
      <vt:lpstr>Intra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2025-08-27T13:11:10Z</dcterms:created>
  <dcterms:modified xsi:type="dcterms:W3CDTF">2025-12-04T04:55:52Z</dcterms:modified>
</cp:coreProperties>
</file>